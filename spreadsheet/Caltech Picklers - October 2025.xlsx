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Settings" sheetId="2" r:id="rId5"/>
    <sheet state="visible" name="Sessions" sheetId="3" r:id="rId6"/>
    <sheet state="visible" name="Attendance" sheetId="4" r:id="rId7"/>
    <sheet state="visible" name="Summary by Player" sheetId="5" r:id="rId8"/>
    <sheet state="visible" name="Monthly Summary" sheetId="6" r:id="rId9"/>
  </sheets>
  <definedNames/>
  <calcPr/>
</workbook>
</file>

<file path=xl/sharedStrings.xml><?xml version="1.0" encoding="utf-8"?>
<sst xmlns="http://schemas.openxmlformats.org/spreadsheetml/2006/main" count="101" uniqueCount="44">
  <si>
    <t>Pickleball Fees Tracker (with Per-Player Attendance)</t>
  </si>
  <si>
    <t>How to use in Google Sheets:
1) In the Settings sheet, confirm fees and Starting Balance.
2) Log each session on the Sessions sheet (Date, Hours, Players). Player Revenue auto-calculates pro‑rata by hours.
   • 2h session at $5 → full $5 per player; 1h session → $2.50 per player.
3) Track who played on the Attendance sheet: Date, Hours, Player Name, Present (1/0).
4) See Summary by Player for totals per person; Monthly Summary shows costs, net, and carryover.
Tip: Next month, set Settings → Starting Balance to last month’s Carryover.</t>
  </si>
  <si>
    <t>Parameter</t>
  </si>
  <si>
    <t>Value</t>
  </si>
  <si>
    <t>Monthly Membership Fee</t>
  </si>
  <si>
    <t>Court Cost per Hour</t>
  </si>
  <si>
    <t>Player Rate per 2-hour Session</t>
  </si>
  <si>
    <t>Starting Balance (Carry-in)</t>
  </si>
  <si>
    <t>Date</t>
  </si>
  <si>
    <t>Hours (1 or 2)</t>
  </si>
  <si>
    <t>Players (2-10)</t>
  </si>
  <si>
    <t>Player Rate (auto)</t>
  </si>
  <si>
    <t>Player Revenue (pro‑rated)</t>
  </si>
  <si>
    <t>Court Cost</t>
  </si>
  <si>
    <t>Net for Session</t>
  </si>
  <si>
    <t>Running Balance</t>
  </si>
  <si>
    <t>Hours</t>
  </si>
  <si>
    <t>Player Name</t>
  </si>
  <si>
    <t>Present (1/0)</t>
  </si>
  <si>
    <t>Charge (auto)</t>
  </si>
  <si>
    <t>PAID</t>
  </si>
  <si>
    <t xml:space="preserve">Jay </t>
  </si>
  <si>
    <t>Cora</t>
  </si>
  <si>
    <t>Randy</t>
  </si>
  <si>
    <t>Marv</t>
  </si>
  <si>
    <t>Jenn</t>
  </si>
  <si>
    <t>Christina</t>
  </si>
  <si>
    <t>Zariyan</t>
  </si>
  <si>
    <t>Carmela</t>
  </si>
  <si>
    <t>Trevor</t>
  </si>
  <si>
    <t>JoeO</t>
  </si>
  <si>
    <t>Arman</t>
  </si>
  <si>
    <t>Jon</t>
  </si>
  <si>
    <t>Rhon</t>
  </si>
  <si>
    <t>Marie</t>
  </si>
  <si>
    <t>Tony</t>
  </si>
  <si>
    <t>Metric</t>
  </si>
  <si>
    <t>Total Sessions</t>
  </si>
  <si>
    <t>Total Hours</t>
  </si>
  <si>
    <t>Total Player Revenue</t>
  </si>
  <si>
    <t>Total Court Cost</t>
  </si>
  <si>
    <t>Membership Fee</t>
  </si>
  <si>
    <t>Net (Revenue - Court - Membership)</t>
  </si>
  <si>
    <t>Carryover to Next 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</si>
</sst>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yyyy-mm-dd"/>
    <numFmt numFmtId="166" formatCode="$#,##0.00"/>
  </numFmts>
  <fonts count="5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8F0FE"/>
        <bgColor rgb="FFE8F0FE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top" wrapText="1"/>
    </xf>
    <xf borderId="1" fillId="2" fontId="3" numFmtId="0" xfId="0" applyBorder="1" applyFill="1" applyFont="1"/>
    <xf borderId="0" fillId="0" fontId="4" numFmtId="0" xfId="0" applyFont="1"/>
    <xf borderId="0" fillId="0" fontId="4" numFmtId="164" xfId="0" applyFont="1" applyNumberFormat="1"/>
    <xf borderId="0" fillId="0" fontId="2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166" xfId="0" applyFont="1" applyNumberFormat="1"/>
    <xf borderId="0" fillId="0" fontId="2" numFmtId="165" xfId="0" applyFont="1" applyNumberFormat="1"/>
    <xf borderId="0" fillId="0" fontId="4" numFmtId="164" xfId="0" applyAlignment="1" applyFont="1" applyNumberFormat="1">
      <alignment readingOrder="0"/>
    </xf>
    <xf borderId="1" fillId="2" fontId="3" numFmtId="0" xfId="0" applyAlignment="1" applyBorder="1" applyFont="1">
      <alignment readingOrder="0"/>
    </xf>
    <xf borderId="0" fillId="0" fontId="2" numFmtId="165" xfId="0" applyAlignment="1" applyFont="1" applyNumberFormat="1">
      <alignment horizontal="right" vertical="bottom"/>
    </xf>
    <xf borderId="0" fillId="0" fontId="2" numFmtId="164" xfId="0" applyFont="1" applyNumberFormat="1"/>
    <xf borderId="1" fillId="0" fontId="2" numFmtId="0" xfId="0" applyBorder="1" applyFont="1"/>
    <xf borderId="1" fillId="0" fontId="2" numFmtId="166" xfId="0" applyBorder="1" applyFont="1" applyNumberForma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Running Balance Over Sessions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Sessions!$H$1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Sessions!$A$2:$A$121</c:f>
            </c:strRef>
          </c:cat>
          <c:val>
            <c:numRef>
              <c:f>Sessions!$H$2:$H$121</c:f>
              <c:numCache/>
            </c:numRef>
          </c:val>
          <c:smooth val="0"/>
        </c:ser>
        <c:axId val="533764219"/>
        <c:axId val="663165773"/>
      </c:lineChart>
      <c:catAx>
        <c:axId val="5337642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Session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3165773"/>
      </c:catAx>
      <c:valAx>
        <c:axId val="6631657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Balance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37642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8639175" cy="43148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 t="s">
        <v>0</v>
      </c>
    </row>
    <row r="3">
      <c r="A3" s="2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3:D1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22.0"/>
    <col customWidth="1" min="3" max="26" width="8.71"/>
  </cols>
  <sheetData>
    <row r="1">
      <c r="A1" s="3" t="s">
        <v>2</v>
      </c>
      <c r="B1" s="3" t="s">
        <v>3</v>
      </c>
    </row>
    <row r="2">
      <c r="A2" s="4" t="s">
        <v>4</v>
      </c>
      <c r="B2" s="5">
        <v>70.0</v>
      </c>
    </row>
    <row r="3">
      <c r="A3" s="4" t="s">
        <v>5</v>
      </c>
      <c r="B3" s="5">
        <v>12.0</v>
      </c>
    </row>
    <row r="4">
      <c r="A4" s="4" t="s">
        <v>6</v>
      </c>
      <c r="B4" s="5">
        <v>5.0</v>
      </c>
    </row>
    <row r="5">
      <c r="B5" s="5"/>
    </row>
    <row r="6">
      <c r="A6" s="4" t="s">
        <v>7</v>
      </c>
      <c r="B6" s="5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20.0"/>
    <col customWidth="1" min="9" max="26" width="8.71"/>
  </cols>
  <sheetData>
    <row r="1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</row>
    <row r="2">
      <c r="A2" s="6">
        <v>45931.0</v>
      </c>
      <c r="B2" s="7">
        <v>2.0</v>
      </c>
      <c r="C2" s="7">
        <v>7.0</v>
      </c>
      <c r="D2" s="5">
        <f>Settings!$B$4</f>
        <v>5</v>
      </c>
      <c r="E2" s="8">
        <f t="shared" ref="E2:E121" si="1">C2*D2*(B2/2)</f>
        <v>35</v>
      </c>
      <c r="F2" s="8">
        <f>B2*Settings!$B$3</f>
        <v>24</v>
      </c>
      <c r="G2" s="8">
        <f t="shared" ref="G2:G121" si="2">E2-F2</f>
        <v>11</v>
      </c>
      <c r="H2" s="8">
        <f>Settings!$B$6+G2</f>
        <v>11</v>
      </c>
    </row>
    <row r="3">
      <c r="A3" s="6">
        <v>45938.0</v>
      </c>
      <c r="B3" s="7">
        <v>2.0</v>
      </c>
      <c r="C3" s="7">
        <v>8.0</v>
      </c>
      <c r="D3" s="5">
        <f>Settings!$B$4</f>
        <v>5</v>
      </c>
      <c r="E3" s="8">
        <f t="shared" si="1"/>
        <v>40</v>
      </c>
      <c r="F3" s="8">
        <f>B3*Settings!$B$3</f>
        <v>24</v>
      </c>
      <c r="G3" s="8">
        <f t="shared" si="2"/>
        <v>16</v>
      </c>
      <c r="H3" s="8">
        <f t="shared" ref="H3:H121" si="3">H2+G3</f>
        <v>27</v>
      </c>
    </row>
    <row r="4">
      <c r="A4" s="6">
        <v>45939.0</v>
      </c>
      <c r="B4" s="7">
        <v>2.0</v>
      </c>
      <c r="C4" s="7">
        <v>6.0</v>
      </c>
      <c r="D4" s="5">
        <f>Settings!$B$4</f>
        <v>5</v>
      </c>
      <c r="E4" s="8">
        <f t="shared" si="1"/>
        <v>30</v>
      </c>
      <c r="F4" s="8">
        <f>B4*Settings!$B$3</f>
        <v>24</v>
      </c>
      <c r="G4" s="8">
        <f t="shared" si="2"/>
        <v>6</v>
      </c>
      <c r="H4" s="8">
        <f t="shared" si="3"/>
        <v>33</v>
      </c>
    </row>
    <row r="5">
      <c r="A5" s="6">
        <v>45942.0</v>
      </c>
      <c r="B5" s="7">
        <v>2.0</v>
      </c>
      <c r="C5" s="7">
        <v>6.0</v>
      </c>
      <c r="D5" s="5">
        <f>Settings!$B$4</f>
        <v>5</v>
      </c>
      <c r="E5" s="8">
        <f t="shared" si="1"/>
        <v>30</v>
      </c>
      <c r="F5" s="8">
        <f>B5*Settings!$B$3</f>
        <v>24</v>
      </c>
      <c r="G5" s="8">
        <f t="shared" si="2"/>
        <v>6</v>
      </c>
      <c r="H5" s="8">
        <f t="shared" si="3"/>
        <v>39</v>
      </c>
    </row>
    <row r="6">
      <c r="A6" s="6">
        <v>45945.0</v>
      </c>
      <c r="B6" s="7">
        <v>2.0</v>
      </c>
      <c r="C6" s="7">
        <v>6.0</v>
      </c>
      <c r="D6" s="5">
        <f>Settings!$B$4</f>
        <v>5</v>
      </c>
      <c r="E6" s="8">
        <f t="shared" si="1"/>
        <v>30</v>
      </c>
      <c r="F6" s="8">
        <f>B6*Settings!$B$3</f>
        <v>24</v>
      </c>
      <c r="G6" s="8">
        <f t="shared" si="2"/>
        <v>6</v>
      </c>
      <c r="H6" s="8">
        <f t="shared" si="3"/>
        <v>45</v>
      </c>
    </row>
    <row r="7">
      <c r="A7" s="6">
        <v>45946.0</v>
      </c>
      <c r="B7" s="7">
        <v>2.0</v>
      </c>
      <c r="C7" s="7">
        <v>5.0</v>
      </c>
      <c r="D7" s="5">
        <f>Settings!$B$4</f>
        <v>5</v>
      </c>
      <c r="E7" s="8">
        <f t="shared" si="1"/>
        <v>25</v>
      </c>
      <c r="F7" s="8">
        <f>B7*Settings!$B$3</f>
        <v>24</v>
      </c>
      <c r="G7" s="8">
        <f t="shared" si="2"/>
        <v>1</v>
      </c>
      <c r="H7" s="8">
        <f t="shared" si="3"/>
        <v>46</v>
      </c>
    </row>
    <row r="8">
      <c r="A8" s="6">
        <v>45949.0</v>
      </c>
      <c r="B8" s="7">
        <v>2.0</v>
      </c>
      <c r="C8" s="7">
        <v>4.0</v>
      </c>
      <c r="D8" s="5">
        <f>Settings!$B$4</f>
        <v>5</v>
      </c>
      <c r="E8" s="8">
        <f t="shared" si="1"/>
        <v>20</v>
      </c>
      <c r="F8" s="8">
        <f>B8*Settings!$B$3</f>
        <v>24</v>
      </c>
      <c r="G8" s="8">
        <f t="shared" si="2"/>
        <v>-4</v>
      </c>
      <c r="H8" s="8">
        <f t="shared" si="3"/>
        <v>42</v>
      </c>
    </row>
    <row r="9">
      <c r="A9" s="6">
        <v>45952.0</v>
      </c>
      <c r="B9" s="7">
        <v>2.0</v>
      </c>
      <c r="C9" s="7">
        <v>7.0</v>
      </c>
      <c r="D9" s="5">
        <f>Settings!$B$4</f>
        <v>5</v>
      </c>
      <c r="E9" s="8">
        <f t="shared" si="1"/>
        <v>35</v>
      </c>
      <c r="F9" s="8">
        <f>B9*Settings!$B$3</f>
        <v>24</v>
      </c>
      <c r="G9" s="8">
        <f t="shared" si="2"/>
        <v>11</v>
      </c>
      <c r="H9" s="8">
        <f t="shared" si="3"/>
        <v>53</v>
      </c>
    </row>
    <row r="10">
      <c r="A10" s="6">
        <v>45953.0</v>
      </c>
      <c r="B10" s="7">
        <v>2.0</v>
      </c>
      <c r="C10" s="7">
        <v>6.0</v>
      </c>
      <c r="D10" s="5">
        <f>Settings!$B$4</f>
        <v>5</v>
      </c>
      <c r="E10" s="8">
        <f t="shared" si="1"/>
        <v>30</v>
      </c>
      <c r="F10" s="8">
        <f>B10*Settings!$B$3</f>
        <v>24</v>
      </c>
      <c r="G10" s="8">
        <f t="shared" si="2"/>
        <v>6</v>
      </c>
      <c r="H10" s="8">
        <f t="shared" si="3"/>
        <v>59</v>
      </c>
    </row>
    <row r="11">
      <c r="A11" s="6">
        <v>45956.0</v>
      </c>
      <c r="B11" s="7">
        <v>2.0</v>
      </c>
      <c r="C11" s="7">
        <v>10.0</v>
      </c>
      <c r="D11" s="5">
        <f>Settings!$B$4</f>
        <v>5</v>
      </c>
      <c r="E11" s="8">
        <f t="shared" si="1"/>
        <v>50</v>
      </c>
      <c r="F11" s="8">
        <f>B11*Settings!$B$3</f>
        <v>24</v>
      </c>
      <c r="G11" s="8">
        <f t="shared" si="2"/>
        <v>26</v>
      </c>
      <c r="H11" s="8">
        <f t="shared" si="3"/>
        <v>85</v>
      </c>
    </row>
    <row r="12">
      <c r="A12" s="6">
        <v>45960.0</v>
      </c>
      <c r="B12" s="7">
        <v>2.0</v>
      </c>
      <c r="C12" s="7">
        <v>5.0</v>
      </c>
      <c r="D12" s="5">
        <f>Settings!$B$4</f>
        <v>5</v>
      </c>
      <c r="E12" s="8">
        <f t="shared" si="1"/>
        <v>25</v>
      </c>
      <c r="F12" s="8">
        <f>B12*Settings!$B$3</f>
        <v>24</v>
      </c>
      <c r="G12" s="8">
        <f t="shared" si="2"/>
        <v>1</v>
      </c>
      <c r="H12" s="8">
        <f t="shared" si="3"/>
        <v>86</v>
      </c>
    </row>
    <row r="13">
      <c r="A13" s="9"/>
      <c r="D13" s="5">
        <f>Settings!$B$4</f>
        <v>5</v>
      </c>
      <c r="E13" s="8">
        <f t="shared" si="1"/>
        <v>0</v>
      </c>
      <c r="F13" s="8">
        <f>B13*Settings!$B$3</f>
        <v>0</v>
      </c>
      <c r="G13" s="8">
        <f t="shared" si="2"/>
        <v>0</v>
      </c>
      <c r="H13" s="8">
        <f t="shared" si="3"/>
        <v>86</v>
      </c>
    </row>
    <row r="14">
      <c r="A14" s="9"/>
      <c r="D14" s="5">
        <f>Settings!$B$4</f>
        <v>5</v>
      </c>
      <c r="E14" s="8">
        <f t="shared" si="1"/>
        <v>0</v>
      </c>
      <c r="F14" s="8">
        <f>B14*Settings!$B$3</f>
        <v>0</v>
      </c>
      <c r="G14" s="8">
        <f t="shared" si="2"/>
        <v>0</v>
      </c>
      <c r="H14" s="8">
        <f t="shared" si="3"/>
        <v>86</v>
      </c>
    </row>
    <row r="15">
      <c r="A15" s="9"/>
      <c r="D15" s="5">
        <f>Settings!$B$4</f>
        <v>5</v>
      </c>
      <c r="E15" s="8">
        <f t="shared" si="1"/>
        <v>0</v>
      </c>
      <c r="F15" s="8">
        <f>B15*Settings!$B$3</f>
        <v>0</v>
      </c>
      <c r="G15" s="8">
        <f t="shared" si="2"/>
        <v>0</v>
      </c>
      <c r="H15" s="8">
        <f t="shared" si="3"/>
        <v>86</v>
      </c>
    </row>
    <row r="16">
      <c r="A16" s="9"/>
      <c r="D16" s="5">
        <f>Settings!$B$4</f>
        <v>5</v>
      </c>
      <c r="E16" s="8">
        <f t="shared" si="1"/>
        <v>0</v>
      </c>
      <c r="F16" s="8">
        <f>B16*Settings!$B$3</f>
        <v>0</v>
      </c>
      <c r="G16" s="8">
        <f t="shared" si="2"/>
        <v>0</v>
      </c>
      <c r="H16" s="8">
        <f t="shared" si="3"/>
        <v>86</v>
      </c>
    </row>
    <row r="17">
      <c r="A17" s="9"/>
      <c r="D17" s="5">
        <f>Settings!$B$4</f>
        <v>5</v>
      </c>
      <c r="E17" s="8">
        <f t="shared" si="1"/>
        <v>0</v>
      </c>
      <c r="F17" s="8">
        <f>B17*Settings!$B$3</f>
        <v>0</v>
      </c>
      <c r="G17" s="8">
        <f t="shared" si="2"/>
        <v>0</v>
      </c>
      <c r="H17" s="8">
        <f t="shared" si="3"/>
        <v>86</v>
      </c>
    </row>
    <row r="18">
      <c r="A18" s="9"/>
      <c r="D18" s="5">
        <f>Settings!$B$4</f>
        <v>5</v>
      </c>
      <c r="E18" s="8">
        <f t="shared" si="1"/>
        <v>0</v>
      </c>
      <c r="F18" s="8">
        <f>B18*Settings!$B$3</f>
        <v>0</v>
      </c>
      <c r="G18" s="8">
        <f t="shared" si="2"/>
        <v>0</v>
      </c>
      <c r="H18" s="8">
        <f t="shared" si="3"/>
        <v>86</v>
      </c>
    </row>
    <row r="19">
      <c r="A19" s="9"/>
      <c r="D19" s="5">
        <f>Settings!$B$4</f>
        <v>5</v>
      </c>
      <c r="E19" s="8">
        <f t="shared" si="1"/>
        <v>0</v>
      </c>
      <c r="F19" s="8">
        <f>B19*Settings!$B$3</f>
        <v>0</v>
      </c>
      <c r="G19" s="8">
        <f t="shared" si="2"/>
        <v>0</v>
      </c>
      <c r="H19" s="8">
        <f t="shared" si="3"/>
        <v>86</v>
      </c>
    </row>
    <row r="20">
      <c r="A20" s="9"/>
      <c r="D20" s="5">
        <f>Settings!$B$4</f>
        <v>5</v>
      </c>
      <c r="E20" s="8">
        <f t="shared" si="1"/>
        <v>0</v>
      </c>
      <c r="F20" s="8">
        <f>B20*Settings!$B$3</f>
        <v>0</v>
      </c>
      <c r="G20" s="8">
        <f t="shared" si="2"/>
        <v>0</v>
      </c>
      <c r="H20" s="8">
        <f t="shared" si="3"/>
        <v>86</v>
      </c>
    </row>
    <row r="21" ht="15.75" customHeight="1">
      <c r="A21" s="9"/>
      <c r="D21" s="5">
        <f>Settings!$B$4</f>
        <v>5</v>
      </c>
      <c r="E21" s="8">
        <f t="shared" si="1"/>
        <v>0</v>
      </c>
      <c r="F21" s="8">
        <f>B21*Settings!$B$3</f>
        <v>0</v>
      </c>
      <c r="G21" s="8">
        <f t="shared" si="2"/>
        <v>0</v>
      </c>
      <c r="H21" s="8">
        <f t="shared" si="3"/>
        <v>86</v>
      </c>
    </row>
    <row r="22" ht="15.75" customHeight="1">
      <c r="A22" s="9"/>
      <c r="D22" s="5">
        <f>Settings!$B$4</f>
        <v>5</v>
      </c>
      <c r="E22" s="8">
        <f t="shared" si="1"/>
        <v>0</v>
      </c>
      <c r="F22" s="8">
        <f>B22*Settings!$B$3</f>
        <v>0</v>
      </c>
      <c r="G22" s="8">
        <f t="shared" si="2"/>
        <v>0</v>
      </c>
      <c r="H22" s="8">
        <f t="shared" si="3"/>
        <v>86</v>
      </c>
    </row>
    <row r="23" ht="15.75" customHeight="1">
      <c r="A23" s="9"/>
      <c r="D23" s="5">
        <f>Settings!$B$4</f>
        <v>5</v>
      </c>
      <c r="E23" s="8">
        <f t="shared" si="1"/>
        <v>0</v>
      </c>
      <c r="F23" s="8">
        <f>B23*Settings!$B$3</f>
        <v>0</v>
      </c>
      <c r="G23" s="8">
        <f t="shared" si="2"/>
        <v>0</v>
      </c>
      <c r="H23" s="8">
        <f t="shared" si="3"/>
        <v>86</v>
      </c>
    </row>
    <row r="24" ht="15.75" customHeight="1">
      <c r="A24" s="9"/>
      <c r="D24" s="5">
        <f>Settings!$B$4</f>
        <v>5</v>
      </c>
      <c r="E24" s="8">
        <f t="shared" si="1"/>
        <v>0</v>
      </c>
      <c r="F24" s="8">
        <f>B24*Settings!$B$3</f>
        <v>0</v>
      </c>
      <c r="G24" s="8">
        <f t="shared" si="2"/>
        <v>0</v>
      </c>
      <c r="H24" s="8">
        <f t="shared" si="3"/>
        <v>86</v>
      </c>
    </row>
    <row r="25" ht="15.75" customHeight="1">
      <c r="A25" s="9"/>
      <c r="D25" s="5">
        <f>Settings!$B$4</f>
        <v>5</v>
      </c>
      <c r="E25" s="8">
        <f t="shared" si="1"/>
        <v>0</v>
      </c>
      <c r="F25" s="8">
        <f>B25*Settings!$B$3</f>
        <v>0</v>
      </c>
      <c r="G25" s="8">
        <f t="shared" si="2"/>
        <v>0</v>
      </c>
      <c r="H25" s="8">
        <f t="shared" si="3"/>
        <v>86</v>
      </c>
    </row>
    <row r="26" ht="15.75" customHeight="1">
      <c r="A26" s="9"/>
      <c r="D26" s="5">
        <f>Settings!$B$4</f>
        <v>5</v>
      </c>
      <c r="E26" s="8">
        <f t="shared" si="1"/>
        <v>0</v>
      </c>
      <c r="F26" s="8">
        <f>B26*Settings!$B$3</f>
        <v>0</v>
      </c>
      <c r="G26" s="8">
        <f t="shared" si="2"/>
        <v>0</v>
      </c>
      <c r="H26" s="8">
        <f t="shared" si="3"/>
        <v>86</v>
      </c>
    </row>
    <row r="27" ht="15.75" customHeight="1">
      <c r="A27" s="9"/>
      <c r="D27" s="5">
        <f>Settings!$B$4</f>
        <v>5</v>
      </c>
      <c r="E27" s="8">
        <f t="shared" si="1"/>
        <v>0</v>
      </c>
      <c r="F27" s="8">
        <f>B27*Settings!$B$3</f>
        <v>0</v>
      </c>
      <c r="G27" s="8">
        <f t="shared" si="2"/>
        <v>0</v>
      </c>
      <c r="H27" s="8">
        <f t="shared" si="3"/>
        <v>86</v>
      </c>
    </row>
    <row r="28" ht="15.75" customHeight="1">
      <c r="A28" s="9"/>
      <c r="D28" s="5">
        <f>Settings!$B$4</f>
        <v>5</v>
      </c>
      <c r="E28" s="8">
        <f t="shared" si="1"/>
        <v>0</v>
      </c>
      <c r="F28" s="8">
        <f>B28*Settings!$B$3</f>
        <v>0</v>
      </c>
      <c r="G28" s="8">
        <f t="shared" si="2"/>
        <v>0</v>
      </c>
      <c r="H28" s="8">
        <f t="shared" si="3"/>
        <v>86</v>
      </c>
    </row>
    <row r="29" ht="15.75" customHeight="1">
      <c r="A29" s="9"/>
      <c r="D29" s="5">
        <f>Settings!$B$4</f>
        <v>5</v>
      </c>
      <c r="E29" s="8">
        <f t="shared" si="1"/>
        <v>0</v>
      </c>
      <c r="F29" s="8">
        <f>B29*Settings!$B$3</f>
        <v>0</v>
      </c>
      <c r="G29" s="8">
        <f t="shared" si="2"/>
        <v>0</v>
      </c>
      <c r="H29" s="8">
        <f t="shared" si="3"/>
        <v>86</v>
      </c>
    </row>
    <row r="30" ht="15.75" customHeight="1">
      <c r="A30" s="9"/>
      <c r="D30" s="5">
        <f>Settings!$B$4</f>
        <v>5</v>
      </c>
      <c r="E30" s="8">
        <f t="shared" si="1"/>
        <v>0</v>
      </c>
      <c r="F30" s="8">
        <f>B30*Settings!$B$3</f>
        <v>0</v>
      </c>
      <c r="G30" s="8">
        <f t="shared" si="2"/>
        <v>0</v>
      </c>
      <c r="H30" s="8">
        <f t="shared" si="3"/>
        <v>86</v>
      </c>
    </row>
    <row r="31" ht="15.75" customHeight="1">
      <c r="A31" s="9"/>
      <c r="D31" s="5">
        <f>Settings!$B$4</f>
        <v>5</v>
      </c>
      <c r="E31" s="8">
        <f t="shared" si="1"/>
        <v>0</v>
      </c>
      <c r="F31" s="8">
        <f>B31*Settings!$B$3</f>
        <v>0</v>
      </c>
      <c r="G31" s="8">
        <f t="shared" si="2"/>
        <v>0</v>
      </c>
      <c r="H31" s="8">
        <f t="shared" si="3"/>
        <v>86</v>
      </c>
    </row>
    <row r="32" ht="15.75" customHeight="1">
      <c r="A32" s="9"/>
      <c r="D32" s="5">
        <f>Settings!$B$4</f>
        <v>5</v>
      </c>
      <c r="E32" s="8">
        <f t="shared" si="1"/>
        <v>0</v>
      </c>
      <c r="F32" s="8">
        <f>B32*Settings!$B$3</f>
        <v>0</v>
      </c>
      <c r="G32" s="8">
        <f t="shared" si="2"/>
        <v>0</v>
      </c>
      <c r="H32" s="8">
        <f t="shared" si="3"/>
        <v>86</v>
      </c>
    </row>
    <row r="33" ht="15.75" customHeight="1">
      <c r="A33" s="9"/>
      <c r="D33" s="5">
        <f>Settings!$B$4</f>
        <v>5</v>
      </c>
      <c r="E33" s="8">
        <f t="shared" si="1"/>
        <v>0</v>
      </c>
      <c r="F33" s="8">
        <f>B33*Settings!$B$3</f>
        <v>0</v>
      </c>
      <c r="G33" s="8">
        <f t="shared" si="2"/>
        <v>0</v>
      </c>
      <c r="H33" s="8">
        <f t="shared" si="3"/>
        <v>86</v>
      </c>
    </row>
    <row r="34" ht="15.75" customHeight="1">
      <c r="A34" s="9"/>
      <c r="D34" s="5">
        <f>Settings!$B$4</f>
        <v>5</v>
      </c>
      <c r="E34" s="8">
        <f t="shared" si="1"/>
        <v>0</v>
      </c>
      <c r="F34" s="8">
        <f>B34*Settings!$B$3</f>
        <v>0</v>
      </c>
      <c r="G34" s="8">
        <f t="shared" si="2"/>
        <v>0</v>
      </c>
      <c r="H34" s="8">
        <f t="shared" si="3"/>
        <v>86</v>
      </c>
    </row>
    <row r="35" ht="15.75" customHeight="1">
      <c r="A35" s="9"/>
      <c r="D35" s="5">
        <f>Settings!$B$4</f>
        <v>5</v>
      </c>
      <c r="E35" s="8">
        <f t="shared" si="1"/>
        <v>0</v>
      </c>
      <c r="F35" s="8">
        <f>B35*Settings!$B$3</f>
        <v>0</v>
      </c>
      <c r="G35" s="8">
        <f t="shared" si="2"/>
        <v>0</v>
      </c>
      <c r="H35" s="8">
        <f t="shared" si="3"/>
        <v>86</v>
      </c>
    </row>
    <row r="36" ht="15.75" customHeight="1">
      <c r="A36" s="6"/>
      <c r="D36" s="10">
        <v>5.0</v>
      </c>
      <c r="E36" s="8">
        <f t="shared" si="1"/>
        <v>0</v>
      </c>
      <c r="F36" s="8">
        <f>B36*Settings!$B$3</f>
        <v>0</v>
      </c>
      <c r="G36" s="8">
        <f t="shared" si="2"/>
        <v>0</v>
      </c>
      <c r="H36" s="8">
        <f t="shared" si="3"/>
        <v>86</v>
      </c>
    </row>
    <row r="37" ht="15.75" customHeight="1">
      <c r="A37" s="9"/>
      <c r="D37" s="5">
        <f>Settings!$B$4</f>
        <v>5</v>
      </c>
      <c r="E37" s="8">
        <f t="shared" si="1"/>
        <v>0</v>
      </c>
      <c r="F37" s="8">
        <f>B37*Settings!$B$3</f>
        <v>0</v>
      </c>
      <c r="G37" s="8">
        <f t="shared" si="2"/>
        <v>0</v>
      </c>
      <c r="H37" s="8">
        <f t="shared" si="3"/>
        <v>86</v>
      </c>
    </row>
    <row r="38" ht="15.75" customHeight="1">
      <c r="A38" s="9"/>
      <c r="D38" s="5">
        <f>Settings!$B$4</f>
        <v>5</v>
      </c>
      <c r="E38" s="8">
        <f t="shared" si="1"/>
        <v>0</v>
      </c>
      <c r="F38" s="8">
        <f>B38*Settings!$B$3</f>
        <v>0</v>
      </c>
      <c r="G38" s="8">
        <f t="shared" si="2"/>
        <v>0</v>
      </c>
      <c r="H38" s="8">
        <f t="shared" si="3"/>
        <v>86</v>
      </c>
    </row>
    <row r="39" ht="15.75" customHeight="1">
      <c r="A39" s="9"/>
      <c r="D39" s="5">
        <f>Settings!$B$4</f>
        <v>5</v>
      </c>
      <c r="E39" s="8">
        <f t="shared" si="1"/>
        <v>0</v>
      </c>
      <c r="F39" s="8">
        <f>B39*Settings!$B$3</f>
        <v>0</v>
      </c>
      <c r="G39" s="8">
        <f t="shared" si="2"/>
        <v>0</v>
      </c>
      <c r="H39" s="8">
        <f t="shared" si="3"/>
        <v>86</v>
      </c>
    </row>
    <row r="40" ht="15.75" customHeight="1">
      <c r="A40" s="9"/>
      <c r="D40" s="5">
        <f>Settings!$B$4</f>
        <v>5</v>
      </c>
      <c r="E40" s="8">
        <f t="shared" si="1"/>
        <v>0</v>
      </c>
      <c r="F40" s="8">
        <f>B40*Settings!$B$3</f>
        <v>0</v>
      </c>
      <c r="G40" s="8">
        <f t="shared" si="2"/>
        <v>0</v>
      </c>
      <c r="H40" s="8">
        <f t="shared" si="3"/>
        <v>86</v>
      </c>
    </row>
    <row r="41" ht="15.75" customHeight="1">
      <c r="A41" s="9"/>
      <c r="D41" s="5">
        <f>Settings!$B$4</f>
        <v>5</v>
      </c>
      <c r="E41" s="8">
        <f t="shared" si="1"/>
        <v>0</v>
      </c>
      <c r="F41" s="8">
        <f>B41*Settings!$B$3</f>
        <v>0</v>
      </c>
      <c r="G41" s="8">
        <f t="shared" si="2"/>
        <v>0</v>
      </c>
      <c r="H41" s="8">
        <f t="shared" si="3"/>
        <v>86</v>
      </c>
    </row>
    <row r="42" ht="15.75" customHeight="1">
      <c r="A42" s="9"/>
      <c r="D42" s="5">
        <f>Settings!$B$4</f>
        <v>5</v>
      </c>
      <c r="E42" s="8">
        <f t="shared" si="1"/>
        <v>0</v>
      </c>
      <c r="F42" s="8">
        <f>B42*Settings!$B$3</f>
        <v>0</v>
      </c>
      <c r="G42" s="8">
        <f t="shared" si="2"/>
        <v>0</v>
      </c>
      <c r="H42" s="8">
        <f t="shared" si="3"/>
        <v>86</v>
      </c>
    </row>
    <row r="43" ht="15.75" customHeight="1">
      <c r="A43" s="9"/>
      <c r="D43" s="5">
        <f>Settings!$B$4</f>
        <v>5</v>
      </c>
      <c r="E43" s="8">
        <f t="shared" si="1"/>
        <v>0</v>
      </c>
      <c r="F43" s="8">
        <f>B43*Settings!$B$3</f>
        <v>0</v>
      </c>
      <c r="G43" s="8">
        <f t="shared" si="2"/>
        <v>0</v>
      </c>
      <c r="H43" s="8">
        <f t="shared" si="3"/>
        <v>86</v>
      </c>
    </row>
    <row r="44" ht="15.75" customHeight="1">
      <c r="A44" s="9"/>
      <c r="D44" s="5">
        <f>Settings!$B$4</f>
        <v>5</v>
      </c>
      <c r="E44" s="8">
        <f t="shared" si="1"/>
        <v>0</v>
      </c>
      <c r="F44" s="8">
        <f>B44*Settings!$B$3</f>
        <v>0</v>
      </c>
      <c r="G44" s="8">
        <f t="shared" si="2"/>
        <v>0</v>
      </c>
      <c r="H44" s="8">
        <f t="shared" si="3"/>
        <v>86</v>
      </c>
    </row>
    <row r="45" ht="15.75" customHeight="1">
      <c r="A45" s="9"/>
      <c r="D45" s="5">
        <f>Settings!$B$4</f>
        <v>5</v>
      </c>
      <c r="E45" s="8">
        <f t="shared" si="1"/>
        <v>0</v>
      </c>
      <c r="F45" s="8">
        <f>B45*Settings!$B$3</f>
        <v>0</v>
      </c>
      <c r="G45" s="8">
        <f t="shared" si="2"/>
        <v>0</v>
      </c>
      <c r="H45" s="8">
        <f t="shared" si="3"/>
        <v>86</v>
      </c>
    </row>
    <row r="46" ht="15.75" customHeight="1">
      <c r="A46" s="9"/>
      <c r="D46" s="5">
        <f>Settings!$B$4</f>
        <v>5</v>
      </c>
      <c r="E46" s="8">
        <f t="shared" si="1"/>
        <v>0</v>
      </c>
      <c r="F46" s="8">
        <f>B46*Settings!$B$3</f>
        <v>0</v>
      </c>
      <c r="G46" s="8">
        <f t="shared" si="2"/>
        <v>0</v>
      </c>
      <c r="H46" s="8">
        <f t="shared" si="3"/>
        <v>86</v>
      </c>
    </row>
    <row r="47" ht="15.75" customHeight="1">
      <c r="A47" s="9"/>
      <c r="D47" s="5">
        <f>Settings!$B$4</f>
        <v>5</v>
      </c>
      <c r="E47" s="8">
        <f t="shared" si="1"/>
        <v>0</v>
      </c>
      <c r="F47" s="8">
        <f>B47*Settings!$B$3</f>
        <v>0</v>
      </c>
      <c r="G47" s="8">
        <f t="shared" si="2"/>
        <v>0</v>
      </c>
      <c r="H47" s="8">
        <f t="shared" si="3"/>
        <v>86</v>
      </c>
    </row>
    <row r="48" ht="15.75" customHeight="1">
      <c r="A48" s="9"/>
      <c r="D48" s="5">
        <f>Settings!$B$4</f>
        <v>5</v>
      </c>
      <c r="E48" s="8">
        <f t="shared" si="1"/>
        <v>0</v>
      </c>
      <c r="F48" s="8">
        <f>B48*Settings!$B$3</f>
        <v>0</v>
      </c>
      <c r="G48" s="8">
        <f t="shared" si="2"/>
        <v>0</v>
      </c>
      <c r="H48" s="8">
        <f t="shared" si="3"/>
        <v>86</v>
      </c>
    </row>
    <row r="49" ht="15.75" customHeight="1">
      <c r="A49" s="9"/>
      <c r="D49" s="5">
        <f>Settings!$B$4</f>
        <v>5</v>
      </c>
      <c r="E49" s="8">
        <f t="shared" si="1"/>
        <v>0</v>
      </c>
      <c r="F49" s="8">
        <f>B49*Settings!$B$3</f>
        <v>0</v>
      </c>
      <c r="G49" s="8">
        <f t="shared" si="2"/>
        <v>0</v>
      </c>
      <c r="H49" s="8">
        <f t="shared" si="3"/>
        <v>86</v>
      </c>
    </row>
    <row r="50" ht="15.75" customHeight="1">
      <c r="A50" s="9"/>
      <c r="D50" s="5">
        <f>Settings!$B$4</f>
        <v>5</v>
      </c>
      <c r="E50" s="8">
        <f t="shared" si="1"/>
        <v>0</v>
      </c>
      <c r="F50" s="8">
        <f>B50*Settings!$B$3</f>
        <v>0</v>
      </c>
      <c r="G50" s="8">
        <f t="shared" si="2"/>
        <v>0</v>
      </c>
      <c r="H50" s="8">
        <f t="shared" si="3"/>
        <v>86</v>
      </c>
    </row>
    <row r="51" ht="15.75" customHeight="1">
      <c r="A51" s="9"/>
      <c r="D51" s="5">
        <f>Settings!$B$4</f>
        <v>5</v>
      </c>
      <c r="E51" s="8">
        <f t="shared" si="1"/>
        <v>0</v>
      </c>
      <c r="F51" s="8">
        <f>B51*Settings!$B$3</f>
        <v>0</v>
      </c>
      <c r="G51" s="8">
        <f t="shared" si="2"/>
        <v>0</v>
      </c>
      <c r="H51" s="8">
        <f t="shared" si="3"/>
        <v>86</v>
      </c>
    </row>
    <row r="52" ht="15.75" customHeight="1">
      <c r="A52" s="9"/>
      <c r="D52" s="5">
        <f>Settings!$B$4</f>
        <v>5</v>
      </c>
      <c r="E52" s="8">
        <f t="shared" si="1"/>
        <v>0</v>
      </c>
      <c r="F52" s="8">
        <f>B52*Settings!$B$3</f>
        <v>0</v>
      </c>
      <c r="G52" s="8">
        <f t="shared" si="2"/>
        <v>0</v>
      </c>
      <c r="H52" s="8">
        <f t="shared" si="3"/>
        <v>86</v>
      </c>
    </row>
    <row r="53" ht="15.75" customHeight="1">
      <c r="A53" s="9"/>
      <c r="D53" s="5">
        <f>Settings!$B$4</f>
        <v>5</v>
      </c>
      <c r="E53" s="8">
        <f t="shared" si="1"/>
        <v>0</v>
      </c>
      <c r="F53" s="8">
        <f>B53*Settings!$B$3</f>
        <v>0</v>
      </c>
      <c r="G53" s="8">
        <f t="shared" si="2"/>
        <v>0</v>
      </c>
      <c r="H53" s="8">
        <f t="shared" si="3"/>
        <v>86</v>
      </c>
    </row>
    <row r="54" ht="15.75" customHeight="1">
      <c r="A54" s="9"/>
      <c r="D54" s="5">
        <f>Settings!$B$4</f>
        <v>5</v>
      </c>
      <c r="E54" s="8">
        <f t="shared" si="1"/>
        <v>0</v>
      </c>
      <c r="F54" s="8">
        <f>B54*Settings!$B$3</f>
        <v>0</v>
      </c>
      <c r="G54" s="8">
        <f t="shared" si="2"/>
        <v>0</v>
      </c>
      <c r="H54" s="8">
        <f t="shared" si="3"/>
        <v>86</v>
      </c>
    </row>
    <row r="55" ht="15.75" customHeight="1">
      <c r="A55" s="9"/>
      <c r="D55" s="5">
        <f>Settings!$B$4</f>
        <v>5</v>
      </c>
      <c r="E55" s="8">
        <f t="shared" si="1"/>
        <v>0</v>
      </c>
      <c r="F55" s="8">
        <f>B55*Settings!$B$3</f>
        <v>0</v>
      </c>
      <c r="G55" s="8">
        <f t="shared" si="2"/>
        <v>0</v>
      </c>
      <c r="H55" s="8">
        <f t="shared" si="3"/>
        <v>86</v>
      </c>
    </row>
    <row r="56" ht="15.75" customHeight="1">
      <c r="A56" s="9"/>
      <c r="D56" s="5">
        <f>Settings!$B$4</f>
        <v>5</v>
      </c>
      <c r="E56" s="8">
        <f t="shared" si="1"/>
        <v>0</v>
      </c>
      <c r="F56" s="8">
        <f>B56*Settings!$B$3</f>
        <v>0</v>
      </c>
      <c r="G56" s="8">
        <f t="shared" si="2"/>
        <v>0</v>
      </c>
      <c r="H56" s="8">
        <f t="shared" si="3"/>
        <v>86</v>
      </c>
    </row>
    <row r="57" ht="15.75" customHeight="1">
      <c r="A57" s="9"/>
      <c r="D57" s="5">
        <f>Settings!$B$4</f>
        <v>5</v>
      </c>
      <c r="E57" s="8">
        <f t="shared" si="1"/>
        <v>0</v>
      </c>
      <c r="F57" s="8">
        <f>B57*Settings!$B$3</f>
        <v>0</v>
      </c>
      <c r="G57" s="8">
        <f t="shared" si="2"/>
        <v>0</v>
      </c>
      <c r="H57" s="8">
        <f t="shared" si="3"/>
        <v>86</v>
      </c>
    </row>
    <row r="58" ht="15.75" customHeight="1">
      <c r="A58" s="9"/>
      <c r="D58" s="5">
        <f>Settings!$B$4</f>
        <v>5</v>
      </c>
      <c r="E58" s="8">
        <f t="shared" si="1"/>
        <v>0</v>
      </c>
      <c r="F58" s="8">
        <f>B58*Settings!$B$3</f>
        <v>0</v>
      </c>
      <c r="G58" s="8">
        <f t="shared" si="2"/>
        <v>0</v>
      </c>
      <c r="H58" s="8">
        <f t="shared" si="3"/>
        <v>86</v>
      </c>
    </row>
    <row r="59" ht="15.75" customHeight="1">
      <c r="A59" s="9"/>
      <c r="D59" s="5">
        <f>Settings!$B$4</f>
        <v>5</v>
      </c>
      <c r="E59" s="8">
        <f t="shared" si="1"/>
        <v>0</v>
      </c>
      <c r="F59" s="8">
        <f>B59*Settings!$B$3</f>
        <v>0</v>
      </c>
      <c r="G59" s="8">
        <f t="shared" si="2"/>
        <v>0</v>
      </c>
      <c r="H59" s="8">
        <f t="shared" si="3"/>
        <v>86</v>
      </c>
    </row>
    <row r="60" ht="15.75" customHeight="1">
      <c r="A60" s="9"/>
      <c r="D60" s="5">
        <f>Settings!$B$4</f>
        <v>5</v>
      </c>
      <c r="E60" s="8">
        <f t="shared" si="1"/>
        <v>0</v>
      </c>
      <c r="F60" s="8">
        <f>B60*Settings!$B$3</f>
        <v>0</v>
      </c>
      <c r="G60" s="8">
        <f t="shared" si="2"/>
        <v>0</v>
      </c>
      <c r="H60" s="8">
        <f t="shared" si="3"/>
        <v>86</v>
      </c>
    </row>
    <row r="61" ht="15.75" customHeight="1">
      <c r="A61" s="9"/>
      <c r="D61" s="5">
        <f>Settings!$B$4</f>
        <v>5</v>
      </c>
      <c r="E61" s="8">
        <f t="shared" si="1"/>
        <v>0</v>
      </c>
      <c r="F61" s="8">
        <f>B61*Settings!$B$3</f>
        <v>0</v>
      </c>
      <c r="G61" s="8">
        <f t="shared" si="2"/>
        <v>0</v>
      </c>
      <c r="H61" s="8">
        <f t="shared" si="3"/>
        <v>86</v>
      </c>
    </row>
    <row r="62" ht="15.75" customHeight="1">
      <c r="A62" s="9"/>
      <c r="D62" s="5">
        <f>Settings!$B$4</f>
        <v>5</v>
      </c>
      <c r="E62" s="8">
        <f t="shared" si="1"/>
        <v>0</v>
      </c>
      <c r="F62" s="8">
        <f>B62*Settings!$B$3</f>
        <v>0</v>
      </c>
      <c r="G62" s="8">
        <f t="shared" si="2"/>
        <v>0</v>
      </c>
      <c r="H62" s="8">
        <f t="shared" si="3"/>
        <v>86</v>
      </c>
    </row>
    <row r="63" ht="15.75" customHeight="1">
      <c r="A63" s="9"/>
      <c r="D63" s="5">
        <f>Settings!$B$4</f>
        <v>5</v>
      </c>
      <c r="E63" s="8">
        <f t="shared" si="1"/>
        <v>0</v>
      </c>
      <c r="F63" s="8">
        <f>B63*Settings!$B$3</f>
        <v>0</v>
      </c>
      <c r="G63" s="8">
        <f t="shared" si="2"/>
        <v>0</v>
      </c>
      <c r="H63" s="8">
        <f t="shared" si="3"/>
        <v>86</v>
      </c>
    </row>
    <row r="64" ht="15.75" customHeight="1">
      <c r="A64" s="9"/>
      <c r="D64" s="5">
        <f>Settings!$B$4</f>
        <v>5</v>
      </c>
      <c r="E64" s="8">
        <f t="shared" si="1"/>
        <v>0</v>
      </c>
      <c r="F64" s="8">
        <f>B64*Settings!$B$3</f>
        <v>0</v>
      </c>
      <c r="G64" s="8">
        <f t="shared" si="2"/>
        <v>0</v>
      </c>
      <c r="H64" s="8">
        <f t="shared" si="3"/>
        <v>86</v>
      </c>
    </row>
    <row r="65" ht="15.75" customHeight="1">
      <c r="A65" s="9"/>
      <c r="D65" s="5">
        <f>Settings!$B$4</f>
        <v>5</v>
      </c>
      <c r="E65" s="8">
        <f t="shared" si="1"/>
        <v>0</v>
      </c>
      <c r="F65" s="8">
        <f>B65*Settings!$B$3</f>
        <v>0</v>
      </c>
      <c r="G65" s="8">
        <f t="shared" si="2"/>
        <v>0</v>
      </c>
      <c r="H65" s="8">
        <f t="shared" si="3"/>
        <v>86</v>
      </c>
    </row>
    <row r="66" ht="15.75" customHeight="1">
      <c r="A66" s="9"/>
      <c r="D66" s="5">
        <f>Settings!$B$4</f>
        <v>5</v>
      </c>
      <c r="E66" s="8">
        <f t="shared" si="1"/>
        <v>0</v>
      </c>
      <c r="F66" s="8">
        <f>B66*Settings!$B$3</f>
        <v>0</v>
      </c>
      <c r="G66" s="8">
        <f t="shared" si="2"/>
        <v>0</v>
      </c>
      <c r="H66" s="8">
        <f t="shared" si="3"/>
        <v>86</v>
      </c>
    </row>
    <row r="67" ht="15.75" customHeight="1">
      <c r="A67" s="9"/>
      <c r="D67" s="5">
        <f>Settings!$B$4</f>
        <v>5</v>
      </c>
      <c r="E67" s="8">
        <f t="shared" si="1"/>
        <v>0</v>
      </c>
      <c r="F67" s="8">
        <f>B67*Settings!$B$3</f>
        <v>0</v>
      </c>
      <c r="G67" s="8">
        <f t="shared" si="2"/>
        <v>0</v>
      </c>
      <c r="H67" s="8">
        <f t="shared" si="3"/>
        <v>86</v>
      </c>
    </row>
    <row r="68" ht="15.75" customHeight="1">
      <c r="A68" s="9"/>
      <c r="D68" s="5">
        <f>Settings!$B$4</f>
        <v>5</v>
      </c>
      <c r="E68" s="8">
        <f t="shared" si="1"/>
        <v>0</v>
      </c>
      <c r="F68" s="8">
        <f>B68*Settings!$B$3</f>
        <v>0</v>
      </c>
      <c r="G68" s="8">
        <f t="shared" si="2"/>
        <v>0</v>
      </c>
      <c r="H68" s="8">
        <f t="shared" si="3"/>
        <v>86</v>
      </c>
    </row>
    <row r="69" ht="15.75" customHeight="1">
      <c r="A69" s="9"/>
      <c r="D69" s="5">
        <f>Settings!$B$4</f>
        <v>5</v>
      </c>
      <c r="E69" s="8">
        <f t="shared" si="1"/>
        <v>0</v>
      </c>
      <c r="F69" s="8">
        <f>B69*Settings!$B$3</f>
        <v>0</v>
      </c>
      <c r="G69" s="8">
        <f t="shared" si="2"/>
        <v>0</v>
      </c>
      <c r="H69" s="8">
        <f t="shared" si="3"/>
        <v>86</v>
      </c>
    </row>
    <row r="70" ht="15.75" customHeight="1">
      <c r="A70" s="9"/>
      <c r="D70" s="5">
        <f>Settings!$B$4</f>
        <v>5</v>
      </c>
      <c r="E70" s="8">
        <f t="shared" si="1"/>
        <v>0</v>
      </c>
      <c r="F70" s="8">
        <f>B70*Settings!$B$3</f>
        <v>0</v>
      </c>
      <c r="G70" s="8">
        <f t="shared" si="2"/>
        <v>0</v>
      </c>
      <c r="H70" s="8">
        <f t="shared" si="3"/>
        <v>86</v>
      </c>
    </row>
    <row r="71" ht="15.75" customHeight="1">
      <c r="A71" s="9"/>
      <c r="D71" s="5">
        <f>Settings!$B$4</f>
        <v>5</v>
      </c>
      <c r="E71" s="8">
        <f t="shared" si="1"/>
        <v>0</v>
      </c>
      <c r="F71" s="8">
        <f>B71*Settings!$B$3</f>
        <v>0</v>
      </c>
      <c r="G71" s="8">
        <f t="shared" si="2"/>
        <v>0</v>
      </c>
      <c r="H71" s="8">
        <f t="shared" si="3"/>
        <v>86</v>
      </c>
    </row>
    <row r="72" ht="15.75" customHeight="1">
      <c r="A72" s="9"/>
      <c r="D72" s="5">
        <f>Settings!$B$4</f>
        <v>5</v>
      </c>
      <c r="E72" s="8">
        <f t="shared" si="1"/>
        <v>0</v>
      </c>
      <c r="F72" s="8">
        <f>B72*Settings!$B$3</f>
        <v>0</v>
      </c>
      <c r="G72" s="8">
        <f t="shared" si="2"/>
        <v>0</v>
      </c>
      <c r="H72" s="8">
        <f t="shared" si="3"/>
        <v>86</v>
      </c>
    </row>
    <row r="73" ht="15.75" customHeight="1">
      <c r="A73" s="9"/>
      <c r="D73" s="5">
        <f>Settings!$B$4</f>
        <v>5</v>
      </c>
      <c r="E73" s="8">
        <f t="shared" si="1"/>
        <v>0</v>
      </c>
      <c r="F73" s="8">
        <f>B73*Settings!$B$3</f>
        <v>0</v>
      </c>
      <c r="G73" s="8">
        <f t="shared" si="2"/>
        <v>0</v>
      </c>
      <c r="H73" s="8">
        <f t="shared" si="3"/>
        <v>86</v>
      </c>
    </row>
    <row r="74" ht="15.75" customHeight="1">
      <c r="A74" s="9"/>
      <c r="D74" s="5">
        <f>Settings!$B$4</f>
        <v>5</v>
      </c>
      <c r="E74" s="8">
        <f t="shared" si="1"/>
        <v>0</v>
      </c>
      <c r="F74" s="8">
        <f>B74*Settings!$B$3</f>
        <v>0</v>
      </c>
      <c r="G74" s="8">
        <f t="shared" si="2"/>
        <v>0</v>
      </c>
      <c r="H74" s="8">
        <f t="shared" si="3"/>
        <v>86</v>
      </c>
    </row>
    <row r="75" ht="15.75" customHeight="1">
      <c r="A75" s="9"/>
      <c r="D75" s="5">
        <f>Settings!$B$4</f>
        <v>5</v>
      </c>
      <c r="E75" s="8">
        <f t="shared" si="1"/>
        <v>0</v>
      </c>
      <c r="F75" s="8">
        <f>B75*Settings!$B$3</f>
        <v>0</v>
      </c>
      <c r="G75" s="8">
        <f t="shared" si="2"/>
        <v>0</v>
      </c>
      <c r="H75" s="8">
        <f t="shared" si="3"/>
        <v>86</v>
      </c>
    </row>
    <row r="76" ht="15.75" customHeight="1">
      <c r="A76" s="9"/>
      <c r="D76" s="5">
        <f>Settings!$B$4</f>
        <v>5</v>
      </c>
      <c r="E76" s="8">
        <f t="shared" si="1"/>
        <v>0</v>
      </c>
      <c r="F76" s="8">
        <f>B76*Settings!$B$3</f>
        <v>0</v>
      </c>
      <c r="G76" s="8">
        <f t="shared" si="2"/>
        <v>0</v>
      </c>
      <c r="H76" s="8">
        <f t="shared" si="3"/>
        <v>86</v>
      </c>
    </row>
    <row r="77" ht="15.75" customHeight="1">
      <c r="A77" s="9"/>
      <c r="D77" s="5">
        <f>Settings!$B$4</f>
        <v>5</v>
      </c>
      <c r="E77" s="8">
        <f t="shared" si="1"/>
        <v>0</v>
      </c>
      <c r="F77" s="8">
        <f>B77*Settings!$B$3</f>
        <v>0</v>
      </c>
      <c r="G77" s="8">
        <f t="shared" si="2"/>
        <v>0</v>
      </c>
      <c r="H77" s="8">
        <f t="shared" si="3"/>
        <v>86</v>
      </c>
    </row>
    <row r="78" ht="15.75" customHeight="1">
      <c r="A78" s="9"/>
      <c r="D78" s="5">
        <f>Settings!$B$4</f>
        <v>5</v>
      </c>
      <c r="E78" s="8">
        <f t="shared" si="1"/>
        <v>0</v>
      </c>
      <c r="F78" s="8">
        <f>B78*Settings!$B$3</f>
        <v>0</v>
      </c>
      <c r="G78" s="8">
        <f t="shared" si="2"/>
        <v>0</v>
      </c>
      <c r="H78" s="8">
        <f t="shared" si="3"/>
        <v>86</v>
      </c>
    </row>
    <row r="79" ht="15.75" customHeight="1">
      <c r="A79" s="9"/>
      <c r="D79" s="5">
        <f>Settings!$B$4</f>
        <v>5</v>
      </c>
      <c r="E79" s="8">
        <f t="shared" si="1"/>
        <v>0</v>
      </c>
      <c r="F79" s="8">
        <f>B79*Settings!$B$3</f>
        <v>0</v>
      </c>
      <c r="G79" s="8">
        <f t="shared" si="2"/>
        <v>0</v>
      </c>
      <c r="H79" s="8">
        <f t="shared" si="3"/>
        <v>86</v>
      </c>
    </row>
    <row r="80" ht="15.75" customHeight="1">
      <c r="A80" s="9"/>
      <c r="D80" s="5">
        <f>Settings!$B$4</f>
        <v>5</v>
      </c>
      <c r="E80" s="8">
        <f t="shared" si="1"/>
        <v>0</v>
      </c>
      <c r="F80" s="8">
        <f>B80*Settings!$B$3</f>
        <v>0</v>
      </c>
      <c r="G80" s="8">
        <f t="shared" si="2"/>
        <v>0</v>
      </c>
      <c r="H80" s="8">
        <f t="shared" si="3"/>
        <v>86</v>
      </c>
    </row>
    <row r="81" ht="15.75" customHeight="1">
      <c r="A81" s="9"/>
      <c r="D81" s="5">
        <f>Settings!$B$4</f>
        <v>5</v>
      </c>
      <c r="E81" s="8">
        <f t="shared" si="1"/>
        <v>0</v>
      </c>
      <c r="F81" s="8">
        <f>B81*Settings!$B$3</f>
        <v>0</v>
      </c>
      <c r="G81" s="8">
        <f t="shared" si="2"/>
        <v>0</v>
      </c>
      <c r="H81" s="8">
        <f t="shared" si="3"/>
        <v>86</v>
      </c>
    </row>
    <row r="82" ht="15.75" customHeight="1">
      <c r="A82" s="9"/>
      <c r="D82" s="5">
        <f>Settings!$B$4</f>
        <v>5</v>
      </c>
      <c r="E82" s="8">
        <f t="shared" si="1"/>
        <v>0</v>
      </c>
      <c r="F82" s="8">
        <f>B82*Settings!$B$3</f>
        <v>0</v>
      </c>
      <c r="G82" s="8">
        <f t="shared" si="2"/>
        <v>0</v>
      </c>
      <c r="H82" s="8">
        <f t="shared" si="3"/>
        <v>86</v>
      </c>
    </row>
    <row r="83" ht="15.75" customHeight="1">
      <c r="A83" s="9"/>
      <c r="D83" s="5">
        <f>Settings!$B$4</f>
        <v>5</v>
      </c>
      <c r="E83" s="8">
        <f t="shared" si="1"/>
        <v>0</v>
      </c>
      <c r="F83" s="8">
        <f>B83*Settings!$B$3</f>
        <v>0</v>
      </c>
      <c r="G83" s="8">
        <f t="shared" si="2"/>
        <v>0</v>
      </c>
      <c r="H83" s="8">
        <f t="shared" si="3"/>
        <v>86</v>
      </c>
    </row>
    <row r="84" ht="15.75" customHeight="1">
      <c r="A84" s="9"/>
      <c r="D84" s="5">
        <f>Settings!$B$4</f>
        <v>5</v>
      </c>
      <c r="E84" s="8">
        <f t="shared" si="1"/>
        <v>0</v>
      </c>
      <c r="F84" s="8">
        <f>B84*Settings!$B$3</f>
        <v>0</v>
      </c>
      <c r="G84" s="8">
        <f t="shared" si="2"/>
        <v>0</v>
      </c>
      <c r="H84" s="8">
        <f t="shared" si="3"/>
        <v>86</v>
      </c>
    </row>
    <row r="85" ht="15.75" customHeight="1">
      <c r="A85" s="9"/>
      <c r="D85" s="5">
        <f>Settings!$B$4</f>
        <v>5</v>
      </c>
      <c r="E85" s="8">
        <f t="shared" si="1"/>
        <v>0</v>
      </c>
      <c r="F85" s="8">
        <f>B85*Settings!$B$3</f>
        <v>0</v>
      </c>
      <c r="G85" s="8">
        <f t="shared" si="2"/>
        <v>0</v>
      </c>
      <c r="H85" s="8">
        <f t="shared" si="3"/>
        <v>86</v>
      </c>
    </row>
    <row r="86" ht="15.75" customHeight="1">
      <c r="A86" s="9"/>
      <c r="D86" s="5">
        <f>Settings!$B$4</f>
        <v>5</v>
      </c>
      <c r="E86" s="8">
        <f t="shared" si="1"/>
        <v>0</v>
      </c>
      <c r="F86" s="8">
        <f>B86*Settings!$B$3</f>
        <v>0</v>
      </c>
      <c r="G86" s="8">
        <f t="shared" si="2"/>
        <v>0</v>
      </c>
      <c r="H86" s="8">
        <f t="shared" si="3"/>
        <v>86</v>
      </c>
    </row>
    <row r="87" ht="15.75" customHeight="1">
      <c r="A87" s="9"/>
      <c r="D87" s="5">
        <f>Settings!$B$4</f>
        <v>5</v>
      </c>
      <c r="E87" s="8">
        <f t="shared" si="1"/>
        <v>0</v>
      </c>
      <c r="F87" s="8">
        <f>B87*Settings!$B$3</f>
        <v>0</v>
      </c>
      <c r="G87" s="8">
        <f t="shared" si="2"/>
        <v>0</v>
      </c>
      <c r="H87" s="8">
        <f t="shared" si="3"/>
        <v>86</v>
      </c>
    </row>
    <row r="88" ht="15.75" customHeight="1">
      <c r="A88" s="9"/>
      <c r="D88" s="5">
        <f>Settings!$B$4</f>
        <v>5</v>
      </c>
      <c r="E88" s="8">
        <f t="shared" si="1"/>
        <v>0</v>
      </c>
      <c r="F88" s="8">
        <f>B88*Settings!$B$3</f>
        <v>0</v>
      </c>
      <c r="G88" s="8">
        <f t="shared" si="2"/>
        <v>0</v>
      </c>
      <c r="H88" s="8">
        <f t="shared" si="3"/>
        <v>86</v>
      </c>
    </row>
    <row r="89" ht="15.75" customHeight="1">
      <c r="A89" s="9"/>
      <c r="D89" s="5">
        <f>Settings!$B$4</f>
        <v>5</v>
      </c>
      <c r="E89" s="8">
        <f t="shared" si="1"/>
        <v>0</v>
      </c>
      <c r="F89" s="8">
        <f>B89*Settings!$B$3</f>
        <v>0</v>
      </c>
      <c r="G89" s="8">
        <f t="shared" si="2"/>
        <v>0</v>
      </c>
      <c r="H89" s="8">
        <f t="shared" si="3"/>
        <v>86</v>
      </c>
    </row>
    <row r="90" ht="15.75" customHeight="1">
      <c r="A90" s="9"/>
      <c r="D90" s="5">
        <f>Settings!$B$4</f>
        <v>5</v>
      </c>
      <c r="E90" s="8">
        <f t="shared" si="1"/>
        <v>0</v>
      </c>
      <c r="F90" s="8">
        <f>B90*Settings!$B$3</f>
        <v>0</v>
      </c>
      <c r="G90" s="8">
        <f t="shared" si="2"/>
        <v>0</v>
      </c>
      <c r="H90" s="8">
        <f t="shared" si="3"/>
        <v>86</v>
      </c>
    </row>
    <row r="91" ht="15.75" customHeight="1">
      <c r="A91" s="9"/>
      <c r="D91" s="5">
        <f>Settings!$B$4</f>
        <v>5</v>
      </c>
      <c r="E91" s="8">
        <f t="shared" si="1"/>
        <v>0</v>
      </c>
      <c r="F91" s="8">
        <f>B91*Settings!$B$3</f>
        <v>0</v>
      </c>
      <c r="G91" s="8">
        <f t="shared" si="2"/>
        <v>0</v>
      </c>
      <c r="H91" s="8">
        <f t="shared" si="3"/>
        <v>86</v>
      </c>
    </row>
    <row r="92" ht="15.75" customHeight="1">
      <c r="A92" s="9"/>
      <c r="D92" s="5">
        <f>Settings!$B$4</f>
        <v>5</v>
      </c>
      <c r="E92" s="8">
        <f t="shared" si="1"/>
        <v>0</v>
      </c>
      <c r="F92" s="8">
        <f>B92*Settings!$B$3</f>
        <v>0</v>
      </c>
      <c r="G92" s="8">
        <f t="shared" si="2"/>
        <v>0</v>
      </c>
      <c r="H92" s="8">
        <f t="shared" si="3"/>
        <v>86</v>
      </c>
    </row>
    <row r="93" ht="15.75" customHeight="1">
      <c r="A93" s="9"/>
      <c r="D93" s="5">
        <f>Settings!$B$4</f>
        <v>5</v>
      </c>
      <c r="E93" s="8">
        <f t="shared" si="1"/>
        <v>0</v>
      </c>
      <c r="F93" s="8">
        <f>B93*Settings!$B$3</f>
        <v>0</v>
      </c>
      <c r="G93" s="8">
        <f t="shared" si="2"/>
        <v>0</v>
      </c>
      <c r="H93" s="8">
        <f t="shared" si="3"/>
        <v>86</v>
      </c>
    </row>
    <row r="94" ht="15.75" customHeight="1">
      <c r="A94" s="9"/>
      <c r="D94" s="5">
        <f>Settings!$B$4</f>
        <v>5</v>
      </c>
      <c r="E94" s="8">
        <f t="shared" si="1"/>
        <v>0</v>
      </c>
      <c r="F94" s="8">
        <f>B94*Settings!$B$3</f>
        <v>0</v>
      </c>
      <c r="G94" s="8">
        <f t="shared" si="2"/>
        <v>0</v>
      </c>
      <c r="H94" s="8">
        <f t="shared" si="3"/>
        <v>86</v>
      </c>
    </row>
    <row r="95" ht="15.75" customHeight="1">
      <c r="A95" s="9"/>
      <c r="D95" s="5">
        <f>Settings!$B$4</f>
        <v>5</v>
      </c>
      <c r="E95" s="8">
        <f t="shared" si="1"/>
        <v>0</v>
      </c>
      <c r="F95" s="8">
        <f>B95*Settings!$B$3</f>
        <v>0</v>
      </c>
      <c r="G95" s="8">
        <f t="shared" si="2"/>
        <v>0</v>
      </c>
      <c r="H95" s="8">
        <f t="shared" si="3"/>
        <v>86</v>
      </c>
    </row>
    <row r="96" ht="15.75" customHeight="1">
      <c r="A96" s="9"/>
      <c r="D96" s="5">
        <f>Settings!$B$4</f>
        <v>5</v>
      </c>
      <c r="E96" s="8">
        <f t="shared" si="1"/>
        <v>0</v>
      </c>
      <c r="F96" s="8">
        <f>B96*Settings!$B$3</f>
        <v>0</v>
      </c>
      <c r="G96" s="8">
        <f t="shared" si="2"/>
        <v>0</v>
      </c>
      <c r="H96" s="8">
        <f t="shared" si="3"/>
        <v>86</v>
      </c>
    </row>
    <row r="97" ht="15.75" customHeight="1">
      <c r="A97" s="9"/>
      <c r="D97" s="5">
        <f>Settings!$B$4</f>
        <v>5</v>
      </c>
      <c r="E97" s="8">
        <f t="shared" si="1"/>
        <v>0</v>
      </c>
      <c r="F97" s="8">
        <f>B97*Settings!$B$3</f>
        <v>0</v>
      </c>
      <c r="G97" s="8">
        <f t="shared" si="2"/>
        <v>0</v>
      </c>
      <c r="H97" s="8">
        <f t="shared" si="3"/>
        <v>86</v>
      </c>
    </row>
    <row r="98" ht="15.75" customHeight="1">
      <c r="A98" s="9"/>
      <c r="D98" s="5">
        <f>Settings!$B$4</f>
        <v>5</v>
      </c>
      <c r="E98" s="8">
        <f t="shared" si="1"/>
        <v>0</v>
      </c>
      <c r="F98" s="8">
        <f>B98*Settings!$B$3</f>
        <v>0</v>
      </c>
      <c r="G98" s="8">
        <f t="shared" si="2"/>
        <v>0</v>
      </c>
      <c r="H98" s="8">
        <f t="shared" si="3"/>
        <v>86</v>
      </c>
    </row>
    <row r="99" ht="15.75" customHeight="1">
      <c r="A99" s="9"/>
      <c r="D99" s="5">
        <f>Settings!$B$4</f>
        <v>5</v>
      </c>
      <c r="E99" s="8">
        <f t="shared" si="1"/>
        <v>0</v>
      </c>
      <c r="F99" s="8">
        <f>B99*Settings!$B$3</f>
        <v>0</v>
      </c>
      <c r="G99" s="8">
        <f t="shared" si="2"/>
        <v>0</v>
      </c>
      <c r="H99" s="8">
        <f t="shared" si="3"/>
        <v>86</v>
      </c>
    </row>
    <row r="100" ht="15.75" customHeight="1">
      <c r="A100" s="9"/>
      <c r="D100" s="5">
        <f>Settings!$B$4</f>
        <v>5</v>
      </c>
      <c r="E100" s="8">
        <f t="shared" si="1"/>
        <v>0</v>
      </c>
      <c r="F100" s="8">
        <f>B100*Settings!$B$3</f>
        <v>0</v>
      </c>
      <c r="G100" s="8">
        <f t="shared" si="2"/>
        <v>0</v>
      </c>
      <c r="H100" s="8">
        <f t="shared" si="3"/>
        <v>86</v>
      </c>
    </row>
    <row r="101" ht="15.75" customHeight="1">
      <c r="A101" s="9"/>
      <c r="D101" s="5">
        <f>Settings!$B$4</f>
        <v>5</v>
      </c>
      <c r="E101" s="8">
        <f t="shared" si="1"/>
        <v>0</v>
      </c>
      <c r="F101" s="8">
        <f>B101*Settings!$B$3</f>
        <v>0</v>
      </c>
      <c r="G101" s="8">
        <f t="shared" si="2"/>
        <v>0</v>
      </c>
      <c r="H101" s="8">
        <f t="shared" si="3"/>
        <v>86</v>
      </c>
    </row>
    <row r="102" ht="15.75" customHeight="1">
      <c r="A102" s="9"/>
      <c r="D102" s="5">
        <f>Settings!$B$4</f>
        <v>5</v>
      </c>
      <c r="E102" s="8">
        <f t="shared" si="1"/>
        <v>0</v>
      </c>
      <c r="F102" s="8">
        <f>B102*Settings!$B$3</f>
        <v>0</v>
      </c>
      <c r="G102" s="8">
        <f t="shared" si="2"/>
        <v>0</v>
      </c>
      <c r="H102" s="8">
        <f t="shared" si="3"/>
        <v>86</v>
      </c>
    </row>
    <row r="103" ht="15.75" customHeight="1">
      <c r="A103" s="9"/>
      <c r="D103" s="5">
        <f>Settings!$B$4</f>
        <v>5</v>
      </c>
      <c r="E103" s="8">
        <f t="shared" si="1"/>
        <v>0</v>
      </c>
      <c r="F103" s="8">
        <f>B103*Settings!$B$3</f>
        <v>0</v>
      </c>
      <c r="G103" s="8">
        <f t="shared" si="2"/>
        <v>0</v>
      </c>
      <c r="H103" s="8">
        <f t="shared" si="3"/>
        <v>86</v>
      </c>
    </row>
    <row r="104" ht="15.75" customHeight="1">
      <c r="A104" s="9"/>
      <c r="D104" s="5">
        <f>Settings!$B$4</f>
        <v>5</v>
      </c>
      <c r="E104" s="8">
        <f t="shared" si="1"/>
        <v>0</v>
      </c>
      <c r="F104" s="8">
        <f>B104*Settings!$B$3</f>
        <v>0</v>
      </c>
      <c r="G104" s="8">
        <f t="shared" si="2"/>
        <v>0</v>
      </c>
      <c r="H104" s="8">
        <f t="shared" si="3"/>
        <v>86</v>
      </c>
    </row>
    <row r="105" ht="15.75" customHeight="1">
      <c r="A105" s="9"/>
      <c r="D105" s="5">
        <f>Settings!$B$4</f>
        <v>5</v>
      </c>
      <c r="E105" s="8">
        <f t="shared" si="1"/>
        <v>0</v>
      </c>
      <c r="F105" s="8">
        <f>B105*Settings!$B$3</f>
        <v>0</v>
      </c>
      <c r="G105" s="8">
        <f t="shared" si="2"/>
        <v>0</v>
      </c>
      <c r="H105" s="8">
        <f t="shared" si="3"/>
        <v>86</v>
      </c>
    </row>
    <row r="106" ht="15.75" customHeight="1">
      <c r="A106" s="9"/>
      <c r="D106" s="5">
        <f>Settings!$B$4</f>
        <v>5</v>
      </c>
      <c r="E106" s="8">
        <f t="shared" si="1"/>
        <v>0</v>
      </c>
      <c r="F106" s="8">
        <f>B106*Settings!$B$3</f>
        <v>0</v>
      </c>
      <c r="G106" s="8">
        <f t="shared" si="2"/>
        <v>0</v>
      </c>
      <c r="H106" s="8">
        <f t="shared" si="3"/>
        <v>86</v>
      </c>
    </row>
    <row r="107" ht="15.75" customHeight="1">
      <c r="A107" s="9"/>
      <c r="D107" s="5">
        <f>Settings!$B$4</f>
        <v>5</v>
      </c>
      <c r="E107" s="8">
        <f t="shared" si="1"/>
        <v>0</v>
      </c>
      <c r="F107" s="8">
        <f>B107*Settings!$B$3</f>
        <v>0</v>
      </c>
      <c r="G107" s="8">
        <f t="shared" si="2"/>
        <v>0</v>
      </c>
      <c r="H107" s="8">
        <f t="shared" si="3"/>
        <v>86</v>
      </c>
    </row>
    <row r="108" ht="15.75" customHeight="1">
      <c r="A108" s="9"/>
      <c r="D108" s="5">
        <f>Settings!$B$4</f>
        <v>5</v>
      </c>
      <c r="E108" s="8">
        <f t="shared" si="1"/>
        <v>0</v>
      </c>
      <c r="F108" s="8">
        <f>B108*Settings!$B$3</f>
        <v>0</v>
      </c>
      <c r="G108" s="8">
        <f t="shared" si="2"/>
        <v>0</v>
      </c>
      <c r="H108" s="8">
        <f t="shared" si="3"/>
        <v>86</v>
      </c>
    </row>
    <row r="109" ht="15.75" customHeight="1">
      <c r="A109" s="9"/>
      <c r="D109" s="5">
        <f>Settings!$B$4</f>
        <v>5</v>
      </c>
      <c r="E109" s="8">
        <f t="shared" si="1"/>
        <v>0</v>
      </c>
      <c r="F109" s="8">
        <f>B109*Settings!$B$3</f>
        <v>0</v>
      </c>
      <c r="G109" s="8">
        <f t="shared" si="2"/>
        <v>0</v>
      </c>
      <c r="H109" s="8">
        <f t="shared" si="3"/>
        <v>86</v>
      </c>
    </row>
    <row r="110" ht="15.75" customHeight="1">
      <c r="A110" s="9"/>
      <c r="D110" s="5">
        <f>Settings!$B$4</f>
        <v>5</v>
      </c>
      <c r="E110" s="8">
        <f t="shared" si="1"/>
        <v>0</v>
      </c>
      <c r="F110" s="8">
        <f>B110*Settings!$B$3</f>
        <v>0</v>
      </c>
      <c r="G110" s="8">
        <f t="shared" si="2"/>
        <v>0</v>
      </c>
      <c r="H110" s="8">
        <f t="shared" si="3"/>
        <v>86</v>
      </c>
    </row>
    <row r="111" ht="15.75" customHeight="1">
      <c r="A111" s="9"/>
      <c r="D111" s="5">
        <f>Settings!$B$4</f>
        <v>5</v>
      </c>
      <c r="E111" s="8">
        <f t="shared" si="1"/>
        <v>0</v>
      </c>
      <c r="F111" s="8">
        <f>B111*Settings!$B$3</f>
        <v>0</v>
      </c>
      <c r="G111" s="8">
        <f t="shared" si="2"/>
        <v>0</v>
      </c>
      <c r="H111" s="8">
        <f t="shared" si="3"/>
        <v>86</v>
      </c>
    </row>
    <row r="112" ht="15.75" customHeight="1">
      <c r="A112" s="9"/>
      <c r="D112" s="5">
        <f>Settings!$B$4</f>
        <v>5</v>
      </c>
      <c r="E112" s="8">
        <f t="shared" si="1"/>
        <v>0</v>
      </c>
      <c r="F112" s="8">
        <f>B112*Settings!$B$3</f>
        <v>0</v>
      </c>
      <c r="G112" s="8">
        <f t="shared" si="2"/>
        <v>0</v>
      </c>
      <c r="H112" s="8">
        <f t="shared" si="3"/>
        <v>86</v>
      </c>
    </row>
    <row r="113" ht="15.75" customHeight="1">
      <c r="A113" s="9"/>
      <c r="D113" s="5">
        <f>Settings!$B$4</f>
        <v>5</v>
      </c>
      <c r="E113" s="8">
        <f t="shared" si="1"/>
        <v>0</v>
      </c>
      <c r="F113" s="8">
        <f>B113*Settings!$B$3</f>
        <v>0</v>
      </c>
      <c r="G113" s="8">
        <f t="shared" si="2"/>
        <v>0</v>
      </c>
      <c r="H113" s="8">
        <f t="shared" si="3"/>
        <v>86</v>
      </c>
    </row>
    <row r="114" ht="15.75" customHeight="1">
      <c r="A114" s="9"/>
      <c r="D114" s="5">
        <f>Settings!$B$4</f>
        <v>5</v>
      </c>
      <c r="E114" s="8">
        <f t="shared" si="1"/>
        <v>0</v>
      </c>
      <c r="F114" s="8">
        <f>B114*Settings!$B$3</f>
        <v>0</v>
      </c>
      <c r="G114" s="8">
        <f t="shared" si="2"/>
        <v>0</v>
      </c>
      <c r="H114" s="8">
        <f t="shared" si="3"/>
        <v>86</v>
      </c>
    </row>
    <row r="115" ht="15.75" customHeight="1">
      <c r="A115" s="9"/>
      <c r="D115" s="5">
        <f>Settings!$B$4</f>
        <v>5</v>
      </c>
      <c r="E115" s="8">
        <f t="shared" si="1"/>
        <v>0</v>
      </c>
      <c r="F115" s="8">
        <f>B115*Settings!$B$3</f>
        <v>0</v>
      </c>
      <c r="G115" s="8">
        <f t="shared" si="2"/>
        <v>0</v>
      </c>
      <c r="H115" s="8">
        <f t="shared" si="3"/>
        <v>86</v>
      </c>
    </row>
    <row r="116" ht="15.75" customHeight="1">
      <c r="A116" s="9"/>
      <c r="D116" s="5">
        <f>Settings!$B$4</f>
        <v>5</v>
      </c>
      <c r="E116" s="8">
        <f t="shared" si="1"/>
        <v>0</v>
      </c>
      <c r="F116" s="8">
        <f>B116*Settings!$B$3</f>
        <v>0</v>
      </c>
      <c r="G116" s="8">
        <f t="shared" si="2"/>
        <v>0</v>
      </c>
      <c r="H116" s="8">
        <f t="shared" si="3"/>
        <v>86</v>
      </c>
    </row>
    <row r="117" ht="15.75" customHeight="1">
      <c r="A117" s="9"/>
      <c r="D117" s="5">
        <f>Settings!$B$4</f>
        <v>5</v>
      </c>
      <c r="E117" s="8">
        <f t="shared" si="1"/>
        <v>0</v>
      </c>
      <c r="F117" s="8">
        <f>B117*Settings!$B$3</f>
        <v>0</v>
      </c>
      <c r="G117" s="8">
        <f t="shared" si="2"/>
        <v>0</v>
      </c>
      <c r="H117" s="8">
        <f t="shared" si="3"/>
        <v>86</v>
      </c>
    </row>
    <row r="118" ht="15.75" customHeight="1">
      <c r="A118" s="9"/>
      <c r="D118" s="5">
        <f>Settings!$B$4</f>
        <v>5</v>
      </c>
      <c r="E118" s="8">
        <f t="shared" si="1"/>
        <v>0</v>
      </c>
      <c r="F118" s="8">
        <f>B118*Settings!$B$3</f>
        <v>0</v>
      </c>
      <c r="G118" s="8">
        <f t="shared" si="2"/>
        <v>0</v>
      </c>
      <c r="H118" s="8">
        <f t="shared" si="3"/>
        <v>86</v>
      </c>
    </row>
    <row r="119" ht="15.75" customHeight="1">
      <c r="A119" s="9"/>
      <c r="D119" s="5">
        <f>Settings!$B$4</f>
        <v>5</v>
      </c>
      <c r="E119" s="8">
        <f t="shared" si="1"/>
        <v>0</v>
      </c>
      <c r="F119" s="8">
        <f>B119*Settings!$B$3</f>
        <v>0</v>
      </c>
      <c r="G119" s="8">
        <f t="shared" si="2"/>
        <v>0</v>
      </c>
      <c r="H119" s="8">
        <f t="shared" si="3"/>
        <v>86</v>
      </c>
    </row>
    <row r="120" ht="15.75" customHeight="1">
      <c r="A120" s="9"/>
      <c r="D120" s="5">
        <f>Settings!$B$4</f>
        <v>5</v>
      </c>
      <c r="E120" s="8">
        <f t="shared" si="1"/>
        <v>0</v>
      </c>
      <c r="F120" s="8">
        <f>B120*Settings!$B$3</f>
        <v>0</v>
      </c>
      <c r="G120" s="8">
        <f t="shared" si="2"/>
        <v>0</v>
      </c>
      <c r="H120" s="8">
        <f t="shared" si="3"/>
        <v>86</v>
      </c>
    </row>
    <row r="121" ht="15.75" customHeight="1">
      <c r="A121" s="9"/>
      <c r="D121" s="5">
        <f>Settings!$B$4</f>
        <v>5</v>
      </c>
      <c r="E121" s="8">
        <f t="shared" si="1"/>
        <v>0</v>
      </c>
      <c r="F121" s="8">
        <f>B121*Settings!$B$3</f>
        <v>0</v>
      </c>
      <c r="G121" s="8">
        <f t="shared" si="2"/>
        <v>0</v>
      </c>
      <c r="H121" s="8">
        <f t="shared" si="3"/>
        <v>86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2.0"/>
    <col customWidth="1" min="6" max="26" width="8.71"/>
  </cols>
  <sheetData>
    <row r="1">
      <c r="A1" s="3" t="s">
        <v>8</v>
      </c>
      <c r="B1" s="3" t="s">
        <v>16</v>
      </c>
      <c r="C1" s="3" t="s">
        <v>17</v>
      </c>
      <c r="D1" s="3" t="s">
        <v>18</v>
      </c>
      <c r="E1" s="3" t="s">
        <v>19</v>
      </c>
      <c r="F1" s="11" t="s">
        <v>20</v>
      </c>
    </row>
    <row r="2">
      <c r="A2" s="6">
        <v>45931.0</v>
      </c>
      <c r="B2" s="7">
        <v>2.0</v>
      </c>
      <c r="C2" s="7" t="s">
        <v>21</v>
      </c>
      <c r="D2" s="7">
        <v>1.0</v>
      </c>
      <c r="E2" s="8">
        <f>D2*(B2/2)*Settings!$B$4</f>
        <v>5</v>
      </c>
      <c r="F2" s="7" t="b">
        <v>1</v>
      </c>
    </row>
    <row r="3">
      <c r="A3" s="6">
        <v>45931.0</v>
      </c>
      <c r="B3" s="7">
        <v>2.0</v>
      </c>
      <c r="C3" s="7" t="s">
        <v>22</v>
      </c>
      <c r="D3" s="7">
        <v>1.0</v>
      </c>
      <c r="E3" s="8">
        <f>D3*(B3/2)*Settings!$B$4</f>
        <v>5</v>
      </c>
      <c r="F3" s="7" t="b">
        <v>1</v>
      </c>
    </row>
    <row r="4">
      <c r="A4" s="6">
        <v>45931.0</v>
      </c>
      <c r="B4" s="7">
        <v>2.0</v>
      </c>
      <c r="C4" s="7" t="s">
        <v>23</v>
      </c>
      <c r="D4" s="7">
        <v>1.0</v>
      </c>
      <c r="E4" s="8">
        <f>D4*(B4/2)*Settings!$B$4</f>
        <v>5</v>
      </c>
      <c r="F4" s="7" t="b">
        <v>1</v>
      </c>
    </row>
    <row r="5">
      <c r="A5" s="6">
        <v>45931.0</v>
      </c>
      <c r="B5" s="7">
        <v>2.0</v>
      </c>
      <c r="C5" s="7" t="s">
        <v>24</v>
      </c>
      <c r="D5" s="7">
        <v>1.0</v>
      </c>
      <c r="E5" s="8">
        <f>D5*(B5/2)*Settings!$B$4</f>
        <v>5</v>
      </c>
      <c r="F5" s="7" t="b">
        <v>1</v>
      </c>
    </row>
    <row r="6">
      <c r="A6" s="6">
        <v>45931.0</v>
      </c>
      <c r="B6" s="7">
        <v>2.0</v>
      </c>
      <c r="C6" s="7" t="s">
        <v>25</v>
      </c>
      <c r="D6" s="7">
        <v>1.0</v>
      </c>
      <c r="E6" s="8">
        <f>D6*(B6/2)*Settings!$B$4</f>
        <v>5</v>
      </c>
      <c r="F6" s="7" t="b">
        <v>1</v>
      </c>
    </row>
    <row r="7">
      <c r="A7" s="6">
        <v>45931.0</v>
      </c>
      <c r="B7" s="7">
        <v>2.0</v>
      </c>
      <c r="C7" s="7" t="s">
        <v>26</v>
      </c>
      <c r="D7" s="7">
        <v>1.0</v>
      </c>
      <c r="E7" s="8">
        <f>D7*(B7/2)*Settings!$B$4</f>
        <v>5</v>
      </c>
      <c r="F7" s="7" t="b">
        <v>1</v>
      </c>
    </row>
    <row r="8">
      <c r="A8" s="6">
        <v>45931.0</v>
      </c>
      <c r="B8" s="7">
        <v>2.0</v>
      </c>
      <c r="C8" s="7" t="s">
        <v>27</v>
      </c>
      <c r="D8" s="7">
        <v>1.0</v>
      </c>
      <c r="E8" s="8">
        <f>D8*(B8/2)*Settings!$B$4</f>
        <v>5</v>
      </c>
      <c r="F8" s="7" t="b">
        <v>1</v>
      </c>
    </row>
    <row r="9">
      <c r="A9" s="6">
        <v>45938.0</v>
      </c>
      <c r="B9" s="7">
        <v>2.0</v>
      </c>
      <c r="C9" s="7" t="s">
        <v>21</v>
      </c>
      <c r="D9" s="7">
        <v>1.0</v>
      </c>
      <c r="E9" s="8">
        <f>D9*(B9/2)*Settings!$B$4</f>
        <v>5</v>
      </c>
      <c r="F9" s="7" t="b">
        <v>1</v>
      </c>
    </row>
    <row r="10">
      <c r="A10" s="6">
        <v>45938.0</v>
      </c>
      <c r="B10" s="7">
        <v>2.0</v>
      </c>
      <c r="C10" s="7" t="s">
        <v>22</v>
      </c>
      <c r="D10" s="7">
        <v>1.0</v>
      </c>
      <c r="E10" s="8">
        <f>D10*(B10/2)*Settings!$B$4</f>
        <v>5</v>
      </c>
      <c r="F10" s="7" t="b">
        <v>1</v>
      </c>
    </row>
    <row r="11">
      <c r="A11" s="6">
        <v>45938.0</v>
      </c>
      <c r="B11" s="7">
        <v>2.0</v>
      </c>
      <c r="C11" s="7" t="s">
        <v>23</v>
      </c>
      <c r="D11" s="7">
        <v>1.0</v>
      </c>
      <c r="E11" s="8">
        <f>D11*(B11/2)*Settings!$B$4</f>
        <v>5</v>
      </c>
      <c r="F11" s="7" t="b">
        <v>1</v>
      </c>
    </row>
    <row r="12">
      <c r="A12" s="6">
        <v>45938.0</v>
      </c>
      <c r="B12" s="7">
        <v>2.0</v>
      </c>
      <c r="C12" s="7" t="s">
        <v>25</v>
      </c>
      <c r="D12" s="7">
        <v>1.0</v>
      </c>
      <c r="E12" s="8">
        <f>D12*(B12/2)*Settings!$B$4</f>
        <v>5</v>
      </c>
      <c r="F12" s="7" t="b">
        <v>1</v>
      </c>
    </row>
    <row r="13">
      <c r="A13" s="6">
        <v>45938.0</v>
      </c>
      <c r="B13" s="7">
        <v>2.0</v>
      </c>
      <c r="C13" s="7" t="s">
        <v>24</v>
      </c>
      <c r="D13" s="7">
        <v>1.0</v>
      </c>
      <c r="E13" s="8">
        <f>D13*(B13/2)*Settings!$B$4</f>
        <v>5</v>
      </c>
      <c r="F13" s="7" t="b">
        <v>1</v>
      </c>
    </row>
    <row r="14">
      <c r="A14" s="6">
        <v>45938.0</v>
      </c>
      <c r="B14" s="7">
        <v>2.0</v>
      </c>
      <c r="C14" s="7" t="s">
        <v>28</v>
      </c>
      <c r="D14" s="7">
        <v>1.0</v>
      </c>
      <c r="E14" s="8">
        <f>D14*(B14/2)*Settings!$B$4</f>
        <v>5</v>
      </c>
      <c r="F14" s="7" t="b">
        <v>1</v>
      </c>
    </row>
    <row r="15">
      <c r="A15" s="6">
        <v>45938.0</v>
      </c>
      <c r="B15" s="7">
        <v>2.0</v>
      </c>
      <c r="C15" s="7" t="s">
        <v>26</v>
      </c>
      <c r="D15" s="7">
        <v>1.0</v>
      </c>
      <c r="E15" s="8">
        <f>D15*(B15/2)*Settings!$B$4</f>
        <v>5</v>
      </c>
      <c r="F15" s="7" t="b">
        <v>1</v>
      </c>
    </row>
    <row r="16">
      <c r="A16" s="6">
        <v>45938.0</v>
      </c>
      <c r="B16" s="7">
        <v>2.0</v>
      </c>
      <c r="C16" s="7" t="s">
        <v>27</v>
      </c>
      <c r="D16" s="7">
        <v>1.0</v>
      </c>
      <c r="E16" s="8">
        <f>D16*(B16/2)*Settings!$B$4</f>
        <v>5</v>
      </c>
      <c r="F16" s="7" t="b">
        <v>1</v>
      </c>
    </row>
    <row r="17">
      <c r="A17" s="6">
        <v>45939.0</v>
      </c>
      <c r="B17" s="7">
        <v>2.0</v>
      </c>
      <c r="C17" s="7" t="s">
        <v>21</v>
      </c>
      <c r="D17" s="7">
        <v>1.0</v>
      </c>
      <c r="E17" s="8">
        <f>D17*(B17/2)*Settings!$B$4</f>
        <v>5</v>
      </c>
      <c r="F17" s="7" t="b">
        <v>1</v>
      </c>
    </row>
    <row r="18">
      <c r="A18" s="6">
        <v>45939.0</v>
      </c>
      <c r="B18" s="7">
        <v>2.0</v>
      </c>
      <c r="C18" s="7" t="s">
        <v>23</v>
      </c>
      <c r="D18" s="7">
        <v>1.0</v>
      </c>
      <c r="E18" s="8">
        <f>D18*(B18/2)*Settings!$B$4</f>
        <v>5</v>
      </c>
      <c r="F18" s="7" t="b">
        <v>1</v>
      </c>
    </row>
    <row r="19">
      <c r="A19" s="6">
        <v>45939.0</v>
      </c>
      <c r="B19" s="7">
        <v>2.0</v>
      </c>
      <c r="C19" s="7" t="s">
        <v>25</v>
      </c>
      <c r="D19" s="7">
        <v>1.0</v>
      </c>
      <c r="E19" s="8">
        <f>D19*(B19/2)*Settings!$B$4</f>
        <v>5</v>
      </c>
      <c r="F19" s="7" t="b">
        <v>1</v>
      </c>
    </row>
    <row r="20">
      <c r="A20" s="6">
        <v>45939.0</v>
      </c>
      <c r="B20" s="7">
        <v>2.0</v>
      </c>
      <c r="C20" s="7" t="s">
        <v>24</v>
      </c>
      <c r="D20" s="7">
        <v>1.0</v>
      </c>
      <c r="E20" s="8">
        <f>D20*(B20/2)*Settings!$B$4</f>
        <v>5</v>
      </c>
      <c r="F20" s="7" t="b">
        <v>1</v>
      </c>
    </row>
    <row r="21" ht="15.75" customHeight="1">
      <c r="A21" s="6">
        <v>45939.0</v>
      </c>
      <c r="B21" s="7">
        <v>2.0</v>
      </c>
      <c r="C21" s="7" t="s">
        <v>28</v>
      </c>
      <c r="D21" s="7">
        <v>1.0</v>
      </c>
      <c r="E21" s="8">
        <f>D21*(B21/2)*Settings!$B$4</f>
        <v>5</v>
      </c>
      <c r="F21" s="7" t="b">
        <v>1</v>
      </c>
    </row>
    <row r="22" ht="15.75" customHeight="1">
      <c r="A22" s="6">
        <v>45939.0</v>
      </c>
      <c r="B22" s="7">
        <v>2.0</v>
      </c>
      <c r="C22" s="7" t="s">
        <v>29</v>
      </c>
      <c r="D22" s="7">
        <v>1.0</v>
      </c>
      <c r="E22" s="8">
        <f>D22*(B22/2)*Settings!$B$4</f>
        <v>5</v>
      </c>
      <c r="F22" s="7" t="b">
        <v>0</v>
      </c>
    </row>
    <row r="23" ht="15.75" customHeight="1">
      <c r="A23" s="6">
        <v>45942.0</v>
      </c>
      <c r="B23" s="7">
        <v>2.0</v>
      </c>
      <c r="C23" s="7" t="s">
        <v>21</v>
      </c>
      <c r="D23" s="7">
        <v>1.0</v>
      </c>
      <c r="E23" s="8">
        <f>D23*(B23/2)*Settings!$B$4</f>
        <v>5</v>
      </c>
      <c r="F23" s="7" t="b">
        <v>1</v>
      </c>
    </row>
    <row r="24" ht="15.75" customHeight="1">
      <c r="A24" s="6">
        <v>45942.0</v>
      </c>
      <c r="B24" s="7">
        <v>2.0</v>
      </c>
      <c r="C24" s="7" t="s">
        <v>22</v>
      </c>
      <c r="D24" s="7">
        <v>1.0</v>
      </c>
      <c r="E24" s="8">
        <f>D24*(B24/2)*Settings!$B$4</f>
        <v>5</v>
      </c>
      <c r="F24" s="7" t="b">
        <v>1</v>
      </c>
    </row>
    <row r="25" ht="15.75" customHeight="1">
      <c r="A25" s="6">
        <v>45942.0</v>
      </c>
      <c r="B25" s="7">
        <v>2.0</v>
      </c>
      <c r="C25" s="7" t="s">
        <v>24</v>
      </c>
      <c r="D25" s="7">
        <v>1.0</v>
      </c>
      <c r="E25" s="8">
        <f>D25*(B25/2)*Settings!$B$4</f>
        <v>5</v>
      </c>
      <c r="F25" s="7" t="b">
        <v>1</v>
      </c>
    </row>
    <row r="26" ht="15.75" customHeight="1">
      <c r="A26" s="6">
        <v>45942.0</v>
      </c>
      <c r="B26" s="7">
        <v>2.0</v>
      </c>
      <c r="C26" s="7" t="s">
        <v>28</v>
      </c>
      <c r="D26" s="7">
        <v>1.0</v>
      </c>
      <c r="E26" s="8">
        <f>D26*(B26/2)*Settings!$B$4</f>
        <v>5</v>
      </c>
      <c r="F26" s="7" t="b">
        <v>1</v>
      </c>
    </row>
    <row r="27" ht="15.75" customHeight="1">
      <c r="A27" s="6">
        <v>45942.0</v>
      </c>
      <c r="B27" s="7">
        <v>2.0</v>
      </c>
      <c r="C27" s="7" t="s">
        <v>30</v>
      </c>
      <c r="D27" s="7">
        <v>1.0</v>
      </c>
      <c r="E27" s="8">
        <f>D27*(B27/2)*Settings!$B$4</f>
        <v>5</v>
      </c>
      <c r="F27" s="7" t="b">
        <v>1</v>
      </c>
    </row>
    <row r="28" ht="15.75" customHeight="1">
      <c r="A28" s="6">
        <v>45942.0</v>
      </c>
      <c r="B28" s="7">
        <v>2.0</v>
      </c>
      <c r="C28" s="7" t="s">
        <v>31</v>
      </c>
      <c r="D28" s="7">
        <v>1.0</v>
      </c>
      <c r="E28" s="8">
        <f>D28*(B28/2)*Settings!$B$4</f>
        <v>5</v>
      </c>
      <c r="F28" s="7" t="b">
        <v>1</v>
      </c>
    </row>
    <row r="29" ht="15.75" customHeight="1">
      <c r="A29" s="6">
        <v>45945.0</v>
      </c>
      <c r="B29" s="7">
        <v>2.0</v>
      </c>
      <c r="C29" s="7" t="s">
        <v>22</v>
      </c>
      <c r="D29" s="7">
        <v>1.0</v>
      </c>
      <c r="E29" s="8">
        <f>D29*(B29/2)*Settings!$B$4</f>
        <v>5</v>
      </c>
      <c r="F29" s="7" t="b">
        <v>1</v>
      </c>
    </row>
    <row r="30" ht="15.75" customHeight="1">
      <c r="A30" s="6">
        <v>45945.0</v>
      </c>
      <c r="B30" s="7">
        <v>2.0</v>
      </c>
      <c r="C30" s="7" t="s">
        <v>24</v>
      </c>
      <c r="D30" s="7">
        <v>1.0</v>
      </c>
      <c r="E30" s="8">
        <f>D30*(B30/2)*Settings!$B$4</f>
        <v>5</v>
      </c>
      <c r="F30" s="7" t="b">
        <v>1</v>
      </c>
    </row>
    <row r="31" ht="15.75" customHeight="1">
      <c r="A31" s="6">
        <v>45945.0</v>
      </c>
      <c r="B31" s="7">
        <v>2.0</v>
      </c>
      <c r="C31" s="7" t="s">
        <v>28</v>
      </c>
      <c r="D31" s="7">
        <v>1.0</v>
      </c>
      <c r="E31" s="8">
        <f>D31*(B31/2)*Settings!$B$4</f>
        <v>5</v>
      </c>
      <c r="F31" s="7" t="b">
        <v>1</v>
      </c>
    </row>
    <row r="32" ht="15.75" customHeight="1">
      <c r="A32" s="6">
        <v>45945.0</v>
      </c>
      <c r="B32" s="7">
        <v>2.0</v>
      </c>
      <c r="C32" s="7" t="s">
        <v>30</v>
      </c>
      <c r="D32" s="7">
        <v>1.0</v>
      </c>
      <c r="E32" s="8">
        <f>D32*(B32/2)*Settings!$B$4</f>
        <v>5</v>
      </c>
      <c r="F32" s="7" t="b">
        <v>1</v>
      </c>
    </row>
    <row r="33" ht="15.75" customHeight="1">
      <c r="A33" s="6">
        <v>45945.0</v>
      </c>
      <c r="B33" s="7">
        <v>2.0</v>
      </c>
      <c r="C33" s="7" t="s">
        <v>23</v>
      </c>
      <c r="D33" s="7">
        <v>1.0</v>
      </c>
      <c r="E33" s="8">
        <f>D33*(B33/2)*Settings!$B$4</f>
        <v>5</v>
      </c>
      <c r="F33" s="7" t="b">
        <v>1</v>
      </c>
    </row>
    <row r="34" ht="15.75" customHeight="1">
      <c r="A34" s="6">
        <v>45945.0</v>
      </c>
      <c r="B34" s="7">
        <v>2.0</v>
      </c>
      <c r="C34" s="7" t="s">
        <v>25</v>
      </c>
      <c r="D34" s="7">
        <v>1.0</v>
      </c>
      <c r="E34" s="8">
        <f>D34*(B34/2)*Settings!$B$4</f>
        <v>5</v>
      </c>
      <c r="F34" s="7" t="b">
        <v>1</v>
      </c>
    </row>
    <row r="35" ht="15.75" customHeight="1">
      <c r="A35" s="6">
        <v>45946.0</v>
      </c>
      <c r="B35" s="7">
        <v>2.0</v>
      </c>
      <c r="C35" s="7" t="s">
        <v>21</v>
      </c>
      <c r="D35" s="7">
        <v>1.0</v>
      </c>
      <c r="E35" s="8">
        <f>D35*(B35/2)*Settings!$B$4</f>
        <v>5</v>
      </c>
      <c r="F35" s="7" t="b">
        <v>1</v>
      </c>
    </row>
    <row r="36" ht="15.75" customHeight="1">
      <c r="A36" s="6">
        <v>45946.0</v>
      </c>
      <c r="B36" s="7">
        <v>2.0</v>
      </c>
      <c r="C36" s="7" t="s">
        <v>28</v>
      </c>
      <c r="D36" s="7">
        <v>1.0</v>
      </c>
      <c r="E36" s="8">
        <f>D36*(B36/2)*Settings!$B$4</f>
        <v>5</v>
      </c>
      <c r="F36" s="7" t="b">
        <v>1</v>
      </c>
    </row>
    <row r="37" ht="15.75" customHeight="1">
      <c r="A37" s="6">
        <v>45946.0</v>
      </c>
      <c r="B37" s="7">
        <v>2.0</v>
      </c>
      <c r="C37" s="7" t="s">
        <v>24</v>
      </c>
      <c r="D37" s="7">
        <v>1.0</v>
      </c>
      <c r="E37" s="8">
        <f>D37*(B37/2)*Settings!$B$4</f>
        <v>5</v>
      </c>
      <c r="F37" s="7" t="b">
        <v>1</v>
      </c>
    </row>
    <row r="38" ht="15.75" customHeight="1">
      <c r="A38" s="6">
        <v>45946.0</v>
      </c>
      <c r="B38" s="7">
        <v>2.0</v>
      </c>
      <c r="C38" s="7" t="s">
        <v>23</v>
      </c>
      <c r="D38" s="7">
        <v>1.0</v>
      </c>
      <c r="E38" s="8">
        <f>D38*(B38/2)*Settings!$B$4</f>
        <v>5</v>
      </c>
      <c r="F38" s="7" t="b">
        <v>1</v>
      </c>
    </row>
    <row r="39" ht="15.75" customHeight="1">
      <c r="A39" s="6">
        <v>45946.0</v>
      </c>
      <c r="B39" s="7">
        <v>2.0</v>
      </c>
      <c r="C39" s="7" t="s">
        <v>25</v>
      </c>
      <c r="D39" s="7">
        <v>1.0</v>
      </c>
      <c r="E39" s="8">
        <f>D39*(B39/2)*Settings!$B$4</f>
        <v>5</v>
      </c>
      <c r="F39" s="7" t="b">
        <v>1</v>
      </c>
    </row>
    <row r="40" ht="15.75" customHeight="1">
      <c r="A40" s="6">
        <v>45949.0</v>
      </c>
      <c r="B40" s="7">
        <v>2.0</v>
      </c>
      <c r="C40" s="7" t="s">
        <v>21</v>
      </c>
      <c r="D40" s="7">
        <v>1.0</v>
      </c>
      <c r="E40" s="8">
        <f>D40*(B40/2)*Settings!$B$4</f>
        <v>5</v>
      </c>
      <c r="F40" s="7" t="b">
        <v>1</v>
      </c>
    </row>
    <row r="41" ht="15.75" customHeight="1">
      <c r="A41" s="6">
        <v>45949.0</v>
      </c>
      <c r="B41" s="7">
        <v>2.0</v>
      </c>
      <c r="C41" s="7" t="s">
        <v>24</v>
      </c>
      <c r="D41" s="7">
        <v>1.0</v>
      </c>
      <c r="E41" s="8">
        <f>D41*(B41/2)*Settings!$B$4</f>
        <v>5</v>
      </c>
      <c r="F41" s="7" t="b">
        <v>1</v>
      </c>
    </row>
    <row r="42" ht="15.75" customHeight="1">
      <c r="A42" s="6">
        <v>45949.0</v>
      </c>
      <c r="B42" s="7">
        <v>2.0</v>
      </c>
      <c r="C42" s="7" t="s">
        <v>31</v>
      </c>
      <c r="D42" s="7">
        <v>1.0</v>
      </c>
      <c r="E42" s="8">
        <f>D42*(B42/2)*Settings!$B$4</f>
        <v>5</v>
      </c>
      <c r="F42" s="7" t="b">
        <v>1</v>
      </c>
    </row>
    <row r="43" ht="15.75" customHeight="1">
      <c r="A43" s="6">
        <v>45949.0</v>
      </c>
      <c r="B43" s="7">
        <v>2.0</v>
      </c>
      <c r="C43" s="7" t="s">
        <v>29</v>
      </c>
      <c r="D43" s="7">
        <v>1.0</v>
      </c>
      <c r="E43" s="8">
        <f>D43*(B43/2)*Settings!$B$4</f>
        <v>5</v>
      </c>
      <c r="F43" s="4" t="b">
        <v>0</v>
      </c>
    </row>
    <row r="44" ht="15.75" customHeight="1">
      <c r="A44" s="6">
        <v>45952.0</v>
      </c>
      <c r="B44" s="7">
        <v>2.0</v>
      </c>
      <c r="C44" s="7" t="s">
        <v>21</v>
      </c>
      <c r="D44" s="7">
        <v>1.0</v>
      </c>
      <c r="E44" s="8">
        <f>D44*(B44/2)*Settings!$B$4</f>
        <v>5</v>
      </c>
      <c r="F44" s="7" t="b">
        <v>1</v>
      </c>
    </row>
    <row r="45" ht="15.75" customHeight="1">
      <c r="A45" s="6">
        <v>45952.0</v>
      </c>
      <c r="B45" s="7">
        <v>2.0</v>
      </c>
      <c r="C45" s="7" t="s">
        <v>22</v>
      </c>
      <c r="D45" s="7">
        <v>1.0</v>
      </c>
      <c r="E45" s="8">
        <f>D45*(B45/2)*Settings!$B$4</f>
        <v>5</v>
      </c>
      <c r="F45" s="7" t="b">
        <v>1</v>
      </c>
    </row>
    <row r="46" ht="15.75" customHeight="1">
      <c r="A46" s="6">
        <v>45952.0</v>
      </c>
      <c r="B46" s="7">
        <v>2.0</v>
      </c>
      <c r="C46" s="7" t="s">
        <v>31</v>
      </c>
      <c r="D46" s="7">
        <v>1.0</v>
      </c>
      <c r="E46" s="8">
        <f>D46*(B46/2)*Settings!$B$4</f>
        <v>5</v>
      </c>
      <c r="F46" s="7" t="b">
        <v>1</v>
      </c>
    </row>
    <row r="47" ht="15.75" customHeight="1">
      <c r="A47" s="6">
        <v>45952.0</v>
      </c>
      <c r="B47" s="7">
        <v>2.0</v>
      </c>
      <c r="C47" s="7" t="s">
        <v>24</v>
      </c>
      <c r="D47" s="7">
        <v>1.0</v>
      </c>
      <c r="E47" s="8">
        <f>D47*(B47/2)*Settings!$B$4</f>
        <v>5</v>
      </c>
      <c r="F47" s="7" t="b">
        <v>1</v>
      </c>
    </row>
    <row r="48" ht="15.75" customHeight="1">
      <c r="A48" s="6">
        <v>45952.0</v>
      </c>
      <c r="B48" s="7">
        <v>2.0</v>
      </c>
      <c r="C48" s="7" t="s">
        <v>28</v>
      </c>
      <c r="D48" s="7">
        <v>1.0</v>
      </c>
      <c r="E48" s="8">
        <f>D48*(B48/2)*Settings!$B$4</f>
        <v>5</v>
      </c>
      <c r="F48" s="7" t="b">
        <v>1</v>
      </c>
    </row>
    <row r="49" ht="15.75" customHeight="1">
      <c r="A49" s="6">
        <v>45952.0</v>
      </c>
      <c r="B49" s="7">
        <v>2.0</v>
      </c>
      <c r="C49" s="7" t="s">
        <v>23</v>
      </c>
      <c r="D49" s="7">
        <v>1.0</v>
      </c>
      <c r="E49" s="8">
        <f>D49*(B49/2)*Settings!$B$4</f>
        <v>5</v>
      </c>
      <c r="F49" s="7" t="b">
        <v>1</v>
      </c>
    </row>
    <row r="50" ht="15.75" customHeight="1">
      <c r="A50" s="6">
        <v>45952.0</v>
      </c>
      <c r="B50" s="7">
        <v>2.0</v>
      </c>
      <c r="C50" s="7" t="s">
        <v>25</v>
      </c>
      <c r="D50" s="7">
        <v>1.0</v>
      </c>
      <c r="E50" s="8">
        <f>D50*(B50/2)*Settings!$B$4</f>
        <v>5</v>
      </c>
      <c r="F50" s="7" t="b">
        <v>1</v>
      </c>
    </row>
    <row r="51" ht="15.75" customHeight="1">
      <c r="A51" s="6">
        <v>45953.0</v>
      </c>
      <c r="B51" s="7">
        <v>2.0</v>
      </c>
      <c r="C51" s="7" t="s">
        <v>21</v>
      </c>
      <c r="D51" s="7">
        <v>1.0</v>
      </c>
      <c r="E51" s="8">
        <f>D51*(B51/2)*Settings!$B$4</f>
        <v>5</v>
      </c>
      <c r="F51" s="7" t="b">
        <v>1</v>
      </c>
    </row>
    <row r="52" ht="15.75" customHeight="1">
      <c r="A52" s="6">
        <v>45953.0</v>
      </c>
      <c r="B52" s="7">
        <v>2.0</v>
      </c>
      <c r="C52" s="7" t="s">
        <v>32</v>
      </c>
      <c r="D52" s="7">
        <v>1.0</v>
      </c>
      <c r="E52" s="8">
        <f>D52*(B52/2)*Settings!$B$4</f>
        <v>5</v>
      </c>
      <c r="F52" s="7" t="b">
        <v>1</v>
      </c>
    </row>
    <row r="53" ht="15.75" customHeight="1">
      <c r="A53" s="6">
        <v>45953.0</v>
      </c>
      <c r="B53" s="7">
        <v>2.0</v>
      </c>
      <c r="C53" s="7" t="s">
        <v>29</v>
      </c>
      <c r="D53" s="7">
        <v>1.0</v>
      </c>
      <c r="E53" s="8">
        <f>D53*(B53/2)*Settings!$B$4</f>
        <v>5</v>
      </c>
      <c r="F53" s="4" t="b">
        <v>0</v>
      </c>
    </row>
    <row r="54" ht="15.75" customHeight="1">
      <c r="A54" s="6">
        <v>45953.0</v>
      </c>
      <c r="B54" s="7">
        <v>2.0</v>
      </c>
      <c r="C54" s="7" t="s">
        <v>24</v>
      </c>
      <c r="D54" s="7">
        <v>1.0</v>
      </c>
      <c r="E54" s="8">
        <f>D54*(B54/2)*Settings!$B$4</f>
        <v>5</v>
      </c>
      <c r="F54" s="7" t="b">
        <v>1</v>
      </c>
    </row>
    <row r="55" ht="15.75" customHeight="1">
      <c r="A55" s="6">
        <v>45953.0</v>
      </c>
      <c r="B55" s="7">
        <v>2.0</v>
      </c>
      <c r="C55" s="7" t="s">
        <v>28</v>
      </c>
      <c r="D55" s="7">
        <v>1.0</v>
      </c>
      <c r="E55" s="8">
        <f>D55*(B55/2)*Settings!$B$4</f>
        <v>5</v>
      </c>
      <c r="F55" s="7" t="b">
        <v>1</v>
      </c>
    </row>
    <row r="56" ht="15.75" customHeight="1">
      <c r="A56" s="6">
        <v>45953.0</v>
      </c>
      <c r="B56" s="7">
        <v>2.0</v>
      </c>
      <c r="C56" s="7" t="s">
        <v>23</v>
      </c>
      <c r="D56" s="7">
        <v>1.0</v>
      </c>
      <c r="E56" s="8">
        <f>D56*(B56/2)*Settings!$B$4</f>
        <v>5</v>
      </c>
      <c r="F56" s="7" t="b">
        <v>1</v>
      </c>
    </row>
    <row r="57" ht="15.75" customHeight="1">
      <c r="A57" s="6">
        <v>45953.0</v>
      </c>
      <c r="B57" s="7">
        <v>2.0</v>
      </c>
      <c r="D57" s="7">
        <v>0.0</v>
      </c>
      <c r="E57" s="8">
        <f>D57*(B57/2)*Settings!$B$4</f>
        <v>0</v>
      </c>
      <c r="F57" s="4" t="b">
        <v>0</v>
      </c>
    </row>
    <row r="58" ht="15.75" customHeight="1">
      <c r="A58" s="6">
        <v>45956.0</v>
      </c>
      <c r="B58" s="7">
        <v>2.0</v>
      </c>
      <c r="C58" s="7" t="s">
        <v>21</v>
      </c>
      <c r="D58" s="7">
        <v>1.0</v>
      </c>
      <c r="E58" s="8">
        <f>D58*(B58/2)*Settings!$B$4</f>
        <v>5</v>
      </c>
      <c r="F58" s="7" t="b">
        <v>1</v>
      </c>
    </row>
    <row r="59" ht="15.75" customHeight="1">
      <c r="A59" s="6">
        <v>45956.0</v>
      </c>
      <c r="B59" s="7">
        <v>2.0</v>
      </c>
      <c r="C59" s="7" t="s">
        <v>22</v>
      </c>
      <c r="D59" s="7">
        <v>1.0</v>
      </c>
      <c r="E59" s="8">
        <f>D59*(B59/2)*Settings!$B$4</f>
        <v>5</v>
      </c>
      <c r="F59" s="7" t="b">
        <v>1</v>
      </c>
    </row>
    <row r="60" ht="15.75" customHeight="1">
      <c r="A60" s="12">
        <v>45956.0</v>
      </c>
      <c r="B60" s="7">
        <v>2.0</v>
      </c>
      <c r="C60" s="7" t="s">
        <v>25</v>
      </c>
      <c r="D60" s="7">
        <v>1.0</v>
      </c>
      <c r="E60" s="8">
        <f>D60*(B60/2)*Settings!$B$4</f>
        <v>5</v>
      </c>
      <c r="F60" s="7" t="b">
        <v>1</v>
      </c>
    </row>
    <row r="61" ht="15.75" customHeight="1">
      <c r="A61" s="12">
        <v>45956.0</v>
      </c>
      <c r="B61" s="7">
        <v>2.0</v>
      </c>
      <c r="C61" s="7" t="s">
        <v>23</v>
      </c>
      <c r="D61" s="7">
        <v>1.0</v>
      </c>
      <c r="E61" s="8">
        <f>D61*(B61/2)*Settings!$B$4</f>
        <v>5</v>
      </c>
      <c r="F61" s="7" t="b">
        <v>1</v>
      </c>
    </row>
    <row r="62" ht="15.75" customHeight="1">
      <c r="A62" s="12">
        <v>45956.0</v>
      </c>
      <c r="B62" s="7">
        <v>2.0</v>
      </c>
      <c r="C62" s="7" t="s">
        <v>28</v>
      </c>
      <c r="D62" s="7">
        <v>1.0</v>
      </c>
      <c r="E62" s="8">
        <f>D62*(B62/2)*Settings!$B$4</f>
        <v>5</v>
      </c>
      <c r="F62" s="7" t="b">
        <v>1</v>
      </c>
    </row>
    <row r="63" ht="15.75" customHeight="1">
      <c r="A63" s="12">
        <v>45956.0</v>
      </c>
      <c r="B63" s="7">
        <v>2.0</v>
      </c>
      <c r="C63" s="7" t="s">
        <v>24</v>
      </c>
      <c r="D63" s="7">
        <v>1.0</v>
      </c>
      <c r="E63" s="8">
        <f>D63*(B63/2)*Settings!$B$4</f>
        <v>5</v>
      </c>
      <c r="F63" s="7" t="b">
        <v>1</v>
      </c>
    </row>
    <row r="64" ht="15.75" customHeight="1">
      <c r="A64" s="12">
        <v>45956.0</v>
      </c>
      <c r="B64" s="7">
        <v>2.0</v>
      </c>
      <c r="C64" s="7" t="s">
        <v>30</v>
      </c>
      <c r="D64" s="7">
        <v>1.0</v>
      </c>
      <c r="E64" s="8">
        <f>D64*(B64/2)*Settings!$B$4</f>
        <v>5</v>
      </c>
      <c r="F64" s="7" t="b">
        <v>1</v>
      </c>
    </row>
    <row r="65" ht="15.75" customHeight="1">
      <c r="A65" s="12">
        <v>45956.0</v>
      </c>
      <c r="B65" s="7">
        <v>2.0</v>
      </c>
      <c r="C65" s="7" t="s">
        <v>31</v>
      </c>
      <c r="D65" s="7">
        <v>1.0</v>
      </c>
      <c r="E65" s="8">
        <f>D65*(B65/2)*Settings!$B$4</f>
        <v>5</v>
      </c>
      <c r="F65" s="7" t="b">
        <v>1</v>
      </c>
    </row>
    <row r="66" ht="15.75" customHeight="1">
      <c r="A66" s="12">
        <v>45956.0</v>
      </c>
      <c r="B66" s="7">
        <v>2.0</v>
      </c>
      <c r="C66" s="7" t="s">
        <v>33</v>
      </c>
      <c r="D66" s="7">
        <v>1.0</v>
      </c>
      <c r="E66" s="8">
        <f>D66*(B66/2)*Settings!$B$4</f>
        <v>5</v>
      </c>
      <c r="F66" s="7" t="b">
        <v>1</v>
      </c>
    </row>
    <row r="67" ht="15.75" customHeight="1">
      <c r="A67" s="12">
        <v>45956.0</v>
      </c>
      <c r="B67" s="7">
        <v>2.0</v>
      </c>
      <c r="C67" s="7" t="s">
        <v>34</v>
      </c>
      <c r="D67" s="7">
        <v>1.0</v>
      </c>
      <c r="E67" s="8">
        <f>D67*(B67/2)*Settings!$B$4</f>
        <v>5</v>
      </c>
      <c r="F67" s="7" t="b">
        <v>1</v>
      </c>
    </row>
    <row r="68" ht="15.75" customHeight="1">
      <c r="A68" s="6">
        <v>45960.0</v>
      </c>
      <c r="B68" s="7">
        <v>2.0</v>
      </c>
      <c r="C68" s="7" t="s">
        <v>21</v>
      </c>
      <c r="D68" s="7">
        <v>1.0</v>
      </c>
      <c r="E68" s="8">
        <f>D68*(B68/2)*Settings!$B$4</f>
        <v>5</v>
      </c>
      <c r="F68" s="4" t="b">
        <v>0</v>
      </c>
    </row>
    <row r="69" ht="15.75" customHeight="1">
      <c r="A69" s="6">
        <v>45960.0</v>
      </c>
      <c r="B69" s="7">
        <v>2.0</v>
      </c>
      <c r="C69" s="7" t="s">
        <v>23</v>
      </c>
      <c r="D69" s="7">
        <v>1.0</v>
      </c>
      <c r="E69" s="8">
        <f>D69*(B69/2)*Settings!$B$4</f>
        <v>5</v>
      </c>
      <c r="F69" s="7" t="b">
        <v>1</v>
      </c>
    </row>
    <row r="70" ht="15.75" customHeight="1">
      <c r="A70" s="6">
        <v>45960.0</v>
      </c>
      <c r="B70" s="7">
        <v>2.0</v>
      </c>
      <c r="C70" s="7" t="s">
        <v>25</v>
      </c>
      <c r="D70" s="7">
        <v>1.0</v>
      </c>
      <c r="E70" s="8">
        <f>D70*(B70/2)*Settings!$B$4</f>
        <v>5</v>
      </c>
      <c r="F70" s="7" t="b">
        <v>1</v>
      </c>
    </row>
    <row r="71" ht="15.75" customHeight="1">
      <c r="A71" s="6">
        <v>45960.0</v>
      </c>
      <c r="B71" s="7">
        <v>2.0</v>
      </c>
      <c r="C71" s="7" t="s">
        <v>35</v>
      </c>
      <c r="D71" s="7">
        <v>1.0</v>
      </c>
      <c r="E71" s="8">
        <f>D71*(B71/2)*Settings!$B$4</f>
        <v>5</v>
      </c>
      <c r="F71" s="7" t="b">
        <v>1</v>
      </c>
    </row>
    <row r="72" ht="15.75" customHeight="1">
      <c r="A72" s="6">
        <v>45960.0</v>
      </c>
      <c r="B72" s="7">
        <v>2.0</v>
      </c>
      <c r="C72" s="7" t="s">
        <v>29</v>
      </c>
      <c r="D72" s="7">
        <v>1.0</v>
      </c>
      <c r="E72" s="8">
        <f>D72*(B72/2)*Settings!$B$4</f>
        <v>5</v>
      </c>
      <c r="F72" s="4" t="b">
        <v>0</v>
      </c>
    </row>
    <row r="73" ht="15.75" customHeight="1">
      <c r="A73" s="9"/>
      <c r="E73" s="8">
        <f>D73*(B73/2)*Settings!$B$4</f>
        <v>0</v>
      </c>
      <c r="F73" s="4" t="b">
        <v>0</v>
      </c>
    </row>
    <row r="74" ht="15.75" customHeight="1">
      <c r="A74" s="9"/>
      <c r="E74" s="8">
        <f>D74*(B74/2)*Settings!$B$4</f>
        <v>0</v>
      </c>
      <c r="F74" s="4" t="b">
        <v>0</v>
      </c>
    </row>
    <row r="75" ht="15.75" customHeight="1">
      <c r="A75" s="9"/>
      <c r="E75" s="8">
        <f>D75*(B75/2)*Settings!$B$4</f>
        <v>0</v>
      </c>
      <c r="F75" s="4" t="b">
        <v>0</v>
      </c>
    </row>
    <row r="76" ht="15.75" customHeight="1">
      <c r="A76" s="9"/>
      <c r="E76" s="8">
        <f>D76*(B76/2)*Settings!$B$4</f>
        <v>0</v>
      </c>
      <c r="F76" s="4" t="b">
        <v>0</v>
      </c>
    </row>
    <row r="77" ht="15.75" customHeight="1">
      <c r="A77" s="9"/>
      <c r="E77" s="8">
        <f>D77*(B77/2)*Settings!$B$4</f>
        <v>0</v>
      </c>
      <c r="F77" s="4" t="b">
        <v>0</v>
      </c>
    </row>
    <row r="78" ht="15.75" customHeight="1">
      <c r="A78" s="9"/>
      <c r="E78" s="8">
        <f>D78*(B78/2)*Settings!$B$4</f>
        <v>0</v>
      </c>
      <c r="F78" s="4" t="b">
        <v>0</v>
      </c>
    </row>
    <row r="79" ht="15.75" customHeight="1">
      <c r="A79" s="9"/>
      <c r="E79" s="8">
        <f>D79*(B79/2)*Settings!$B$4</f>
        <v>0</v>
      </c>
      <c r="F79" s="4" t="b">
        <v>0</v>
      </c>
    </row>
    <row r="80" ht="15.75" customHeight="1">
      <c r="A80" s="9"/>
      <c r="E80" s="8">
        <f>D80*(B80/2)*Settings!$B$4</f>
        <v>0</v>
      </c>
      <c r="F80" s="4" t="b">
        <v>0</v>
      </c>
    </row>
    <row r="81" ht="15.75" customHeight="1">
      <c r="A81" s="9"/>
      <c r="E81" s="8">
        <f>D81*(B81/2)*Settings!$B$4</f>
        <v>0</v>
      </c>
      <c r="F81" s="4" t="b">
        <v>0</v>
      </c>
    </row>
    <row r="82" ht="15.75" customHeight="1">
      <c r="A82" s="9"/>
      <c r="E82" s="8">
        <f>D82*(B82/2)*Settings!$B$4</f>
        <v>0</v>
      </c>
      <c r="F82" s="4" t="b">
        <v>0</v>
      </c>
    </row>
    <row r="83" ht="15.75" customHeight="1">
      <c r="A83" s="9"/>
      <c r="E83" s="8">
        <f>D83*(B83/2)*Settings!$B$4</f>
        <v>0</v>
      </c>
      <c r="F83" s="4" t="b">
        <v>0</v>
      </c>
    </row>
    <row r="84" ht="15.75" customHeight="1">
      <c r="A84" s="9"/>
      <c r="E84" s="8">
        <f>D84*(B84/2)*Settings!$B$4</f>
        <v>0</v>
      </c>
      <c r="F84" s="4" t="b">
        <v>0</v>
      </c>
    </row>
    <row r="85" ht="15.75" customHeight="1">
      <c r="A85" s="9"/>
      <c r="E85" s="8">
        <f>D85*(B85/2)*Settings!$B$4</f>
        <v>0</v>
      </c>
      <c r="F85" s="4" t="b">
        <v>0</v>
      </c>
    </row>
    <row r="86" ht="15.75" customHeight="1">
      <c r="A86" s="9"/>
      <c r="E86" s="8">
        <f>D86*(B86/2)*Settings!$B$4</f>
        <v>0</v>
      </c>
      <c r="F86" s="4" t="b">
        <v>0</v>
      </c>
    </row>
    <row r="87" ht="15.75" customHeight="1">
      <c r="A87" s="9"/>
      <c r="E87" s="8">
        <f>D87*(B87/2)*Settings!$B$4</f>
        <v>0</v>
      </c>
      <c r="F87" s="4" t="b">
        <v>0</v>
      </c>
    </row>
    <row r="88" ht="15.75" customHeight="1">
      <c r="A88" s="9"/>
      <c r="E88" s="8">
        <f>D88*(B88/2)*Settings!$B$4</f>
        <v>0</v>
      </c>
      <c r="F88" s="4" t="b">
        <v>0</v>
      </c>
    </row>
    <row r="89" ht="15.75" customHeight="1">
      <c r="A89" s="9"/>
      <c r="E89" s="8">
        <f>D89*(B89/2)*Settings!$B$4</f>
        <v>0</v>
      </c>
      <c r="F89" s="4" t="b">
        <v>0</v>
      </c>
    </row>
    <row r="90" ht="15.75" customHeight="1">
      <c r="A90" s="9"/>
      <c r="E90" s="8">
        <f>D90*(B90/2)*Settings!$B$4</f>
        <v>0</v>
      </c>
      <c r="F90" s="4" t="b">
        <v>0</v>
      </c>
    </row>
    <row r="91" ht="15.75" customHeight="1">
      <c r="A91" s="9"/>
      <c r="E91" s="8">
        <f>D91*(B91/2)*Settings!$B$4</f>
        <v>0</v>
      </c>
      <c r="F91" s="4" t="b">
        <v>0</v>
      </c>
    </row>
    <row r="92" ht="15.75" customHeight="1">
      <c r="A92" s="9"/>
      <c r="E92" s="8">
        <f>D92*(B92/2)*Settings!$B$4</f>
        <v>0</v>
      </c>
      <c r="F92" s="4" t="b">
        <v>0</v>
      </c>
    </row>
    <row r="93" ht="15.75" customHeight="1">
      <c r="A93" s="9"/>
      <c r="E93" s="8">
        <f>D93*(B93/2)*Settings!$B$4</f>
        <v>0</v>
      </c>
      <c r="F93" s="4" t="b">
        <v>0</v>
      </c>
    </row>
    <row r="94" ht="15.75" customHeight="1">
      <c r="A94" s="9"/>
      <c r="E94" s="8">
        <f>D94*(B94/2)*Settings!$B$4</f>
        <v>0</v>
      </c>
      <c r="F94" s="4" t="b">
        <v>0</v>
      </c>
    </row>
    <row r="95" ht="15.75" customHeight="1">
      <c r="A95" s="9"/>
      <c r="E95" s="8">
        <f>D95*(B95/2)*Settings!$B$4</f>
        <v>0</v>
      </c>
      <c r="F95" s="4" t="b">
        <v>0</v>
      </c>
    </row>
    <row r="96" ht="15.75" customHeight="1">
      <c r="A96" s="9"/>
      <c r="E96" s="8">
        <f>D96*(B96/2)*Settings!$B$4</f>
        <v>0</v>
      </c>
      <c r="F96" s="4" t="b">
        <v>0</v>
      </c>
    </row>
    <row r="97" ht="15.75" customHeight="1">
      <c r="A97" s="9"/>
      <c r="E97" s="8">
        <f>D97*(B97/2)*Settings!$B$4</f>
        <v>0</v>
      </c>
      <c r="F97" s="4" t="b">
        <v>0</v>
      </c>
    </row>
    <row r="98" ht="15.75" customHeight="1">
      <c r="A98" s="9"/>
      <c r="E98" s="8">
        <f>D98*(B98/2)*Settings!$B$4</f>
        <v>0</v>
      </c>
      <c r="F98" s="4" t="b">
        <v>0</v>
      </c>
    </row>
    <row r="99" ht="15.75" customHeight="1">
      <c r="A99" s="9"/>
      <c r="E99" s="8">
        <f>D99*(B99/2)*Settings!$B$4</f>
        <v>0</v>
      </c>
      <c r="F99" s="4" t="b">
        <v>0</v>
      </c>
    </row>
    <row r="100" ht="15.75" customHeight="1">
      <c r="A100" s="9"/>
      <c r="E100" s="8">
        <f>D100*(B100/2)*Settings!$B$4</f>
        <v>0</v>
      </c>
      <c r="F100" s="4" t="b">
        <v>0</v>
      </c>
    </row>
    <row r="101" ht="15.75" customHeight="1">
      <c r="A101" s="9"/>
      <c r="E101" s="8">
        <f>D101*(B101/2)*Settings!$B$4</f>
        <v>0</v>
      </c>
      <c r="F101" s="4" t="b">
        <v>0</v>
      </c>
    </row>
    <row r="102" ht="15.75" customHeight="1">
      <c r="A102" s="9"/>
      <c r="E102" s="8">
        <f>D102*(B102/2)*Settings!$B$4</f>
        <v>0</v>
      </c>
      <c r="F102" s="4" t="b">
        <v>0</v>
      </c>
    </row>
    <row r="103" ht="15.75" customHeight="1">
      <c r="A103" s="9"/>
      <c r="E103" s="8">
        <f>D103*(B103/2)*Settings!$B$4</f>
        <v>0</v>
      </c>
      <c r="F103" s="4" t="b">
        <v>0</v>
      </c>
    </row>
    <row r="104" ht="15.75" customHeight="1">
      <c r="A104" s="9"/>
      <c r="E104" s="8">
        <f>D104*(B104/2)*Settings!$B$4</f>
        <v>0</v>
      </c>
      <c r="F104" s="4" t="b">
        <v>0</v>
      </c>
    </row>
    <row r="105" ht="15.75" customHeight="1">
      <c r="A105" s="9"/>
      <c r="E105" s="8">
        <f>D105*(B105/2)*Settings!$B$4</f>
        <v>0</v>
      </c>
      <c r="F105" s="4" t="b">
        <v>0</v>
      </c>
    </row>
    <row r="106" ht="15.75" customHeight="1">
      <c r="A106" s="9"/>
      <c r="E106" s="8">
        <f>D106*(B106/2)*Settings!$B$4</f>
        <v>0</v>
      </c>
      <c r="F106" s="4" t="b">
        <v>0</v>
      </c>
    </row>
    <row r="107" ht="15.75" customHeight="1">
      <c r="A107" s="9"/>
      <c r="E107" s="8">
        <f>D107*(B107/2)*Settings!$B$4</f>
        <v>0</v>
      </c>
      <c r="F107" s="4" t="b">
        <v>0</v>
      </c>
    </row>
    <row r="108" ht="15.75" customHeight="1">
      <c r="A108" s="9"/>
      <c r="E108" s="8">
        <f>D108*(B108/2)*Settings!$B$4</f>
        <v>0</v>
      </c>
      <c r="F108" s="4" t="b">
        <v>0</v>
      </c>
    </row>
    <row r="109" ht="15.75" customHeight="1">
      <c r="A109" s="9"/>
      <c r="E109" s="8">
        <f>D109*(B109/2)*Settings!$B$4</f>
        <v>0</v>
      </c>
      <c r="F109" s="4" t="b">
        <v>0</v>
      </c>
    </row>
    <row r="110" ht="15.75" customHeight="1">
      <c r="A110" s="9"/>
      <c r="E110" s="8">
        <f>D110*(B110/2)*Settings!$B$4</f>
        <v>0</v>
      </c>
      <c r="F110" s="4" t="b">
        <v>0</v>
      </c>
    </row>
    <row r="111" ht="15.75" customHeight="1">
      <c r="A111" s="9"/>
      <c r="E111" s="8">
        <f>D111*(B111/2)*Settings!$B$4</f>
        <v>0</v>
      </c>
      <c r="F111" s="4" t="b">
        <v>0</v>
      </c>
    </row>
    <row r="112" ht="15.75" customHeight="1">
      <c r="A112" s="9"/>
      <c r="E112" s="8">
        <f>D112*(B112/2)*Settings!$B$4</f>
        <v>0</v>
      </c>
      <c r="F112" s="4" t="b">
        <v>0</v>
      </c>
    </row>
    <row r="113" ht="15.75" customHeight="1">
      <c r="A113" s="9"/>
      <c r="E113" s="8">
        <f>D113*(B113/2)*Settings!$B$4</f>
        <v>0</v>
      </c>
      <c r="F113" s="4" t="b">
        <v>0</v>
      </c>
    </row>
    <row r="114" ht="15.75" customHeight="1">
      <c r="A114" s="9"/>
      <c r="E114" s="8">
        <f>D114*(B114/2)*Settings!$B$4</f>
        <v>0</v>
      </c>
      <c r="F114" s="4" t="b">
        <v>0</v>
      </c>
    </row>
    <row r="115" ht="15.75" customHeight="1">
      <c r="A115" s="9"/>
      <c r="E115" s="8">
        <f>D115*(B115/2)*Settings!$B$4</f>
        <v>0</v>
      </c>
      <c r="F115" s="4" t="b">
        <v>0</v>
      </c>
    </row>
    <row r="116" ht="15.75" customHeight="1">
      <c r="A116" s="9"/>
      <c r="E116" s="8">
        <f>D116*(B116/2)*Settings!$B$4</f>
        <v>0</v>
      </c>
      <c r="F116" s="4" t="b">
        <v>0</v>
      </c>
    </row>
    <row r="117" ht="15.75" customHeight="1">
      <c r="A117" s="9"/>
      <c r="E117" s="8">
        <f>D117*(B117/2)*Settings!$B$4</f>
        <v>0</v>
      </c>
      <c r="F117" s="4" t="b">
        <v>0</v>
      </c>
    </row>
    <row r="118" ht="15.75" customHeight="1">
      <c r="A118" s="9"/>
      <c r="E118" s="8">
        <f>D118*(B118/2)*Settings!$B$4</f>
        <v>0</v>
      </c>
      <c r="F118" s="4" t="b">
        <v>0</v>
      </c>
    </row>
    <row r="119" ht="15.75" customHeight="1">
      <c r="A119" s="9"/>
      <c r="E119" s="8">
        <f>D119*(B119/2)*Settings!$B$4</f>
        <v>0</v>
      </c>
      <c r="F119" s="4" t="b">
        <v>0</v>
      </c>
    </row>
    <row r="120" ht="15.75" customHeight="1">
      <c r="A120" s="9"/>
      <c r="E120" s="8">
        <f>D120*(B120/2)*Settings!$B$4</f>
        <v>0</v>
      </c>
      <c r="F120" s="4" t="b">
        <v>0</v>
      </c>
    </row>
    <row r="121" ht="15.75" customHeight="1">
      <c r="A121" s="9"/>
      <c r="E121" s="8">
        <f>D121*(B121/2)*Settings!$B$4</f>
        <v>0</v>
      </c>
      <c r="F121" s="4" t="b">
        <v>0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E121">
    <cfRule type="expression" dxfId="0" priority="1">
      <formula>AND($D2=1, $F2=TRUE)</formula>
    </cfRule>
  </conditionalFormatting>
  <conditionalFormatting sqref="E2:E121">
    <cfRule type="expression" dxfId="1" priority="2">
      <formula>AND($D2=1, $F2=FALSE)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3" width="22.0"/>
    <col customWidth="1" min="4" max="26" width="8.71"/>
  </cols>
  <sheetData>
    <row r="1">
      <c r="A1" s="3" t="str">
        <f>IFERROR(__xludf.DUMMYFUNCTION("QUERY(
  Attendance!C2:E1000,
  ""select C, sum(D), sum(E) where C is not null group by C
   label C 'Player', sum(D) 'Sessions Attended', sum(E) 'Total Charges'"",
  0
)"),"Player")</f>
        <v>Player</v>
      </c>
      <c r="B1" s="3" t="str">
        <f>IFERROR(__xludf.DUMMYFUNCTION("""COMPUTED_VALUE"""),"Sessions Attended")</f>
        <v>Sessions Attended</v>
      </c>
      <c r="C1" s="3" t="str">
        <f>IFERROR(__xludf.DUMMYFUNCTION("""COMPUTED_VALUE"""),"Total Charges")</f>
        <v>Total Charges</v>
      </c>
    </row>
    <row r="2">
      <c r="A2" s="4" t="str">
        <f>IFERROR(__xludf.DUMMYFUNCTION("""COMPUTED_VALUE"""),"Arman")</f>
        <v>Arman</v>
      </c>
      <c r="B2" s="4">
        <f>IFERROR(__xludf.DUMMYFUNCTION("""COMPUTED_VALUE"""),4.0)</f>
        <v>4</v>
      </c>
      <c r="C2" s="13">
        <f>IFERROR(__xludf.DUMMYFUNCTION("""COMPUTED_VALUE"""),20.0)</f>
        <v>20</v>
      </c>
    </row>
    <row r="3">
      <c r="A3" s="4" t="str">
        <f>IFERROR(__xludf.DUMMYFUNCTION("""COMPUTED_VALUE"""),"Carmela")</f>
        <v>Carmela</v>
      </c>
      <c r="B3" s="4">
        <f>IFERROR(__xludf.DUMMYFUNCTION("""COMPUTED_VALUE"""),8.0)</f>
        <v>8</v>
      </c>
      <c r="C3" s="5">
        <f>IFERROR(__xludf.DUMMYFUNCTION("""COMPUTED_VALUE"""),40.0)</f>
        <v>40</v>
      </c>
    </row>
    <row r="4">
      <c r="A4" s="4" t="str">
        <f>IFERROR(__xludf.DUMMYFUNCTION("""COMPUTED_VALUE"""),"Christina")</f>
        <v>Christina</v>
      </c>
      <c r="B4" s="4">
        <f>IFERROR(__xludf.DUMMYFUNCTION("""COMPUTED_VALUE"""),2.0)</f>
        <v>2</v>
      </c>
      <c r="C4" s="5">
        <f>IFERROR(__xludf.DUMMYFUNCTION("""COMPUTED_VALUE"""),10.0)</f>
        <v>10</v>
      </c>
    </row>
    <row r="5">
      <c r="A5" s="4" t="str">
        <f>IFERROR(__xludf.DUMMYFUNCTION("""COMPUTED_VALUE"""),"Cora")</f>
        <v>Cora</v>
      </c>
      <c r="B5" s="4">
        <f>IFERROR(__xludf.DUMMYFUNCTION("""COMPUTED_VALUE"""),6.0)</f>
        <v>6</v>
      </c>
      <c r="C5" s="5">
        <f>IFERROR(__xludf.DUMMYFUNCTION("""COMPUTED_VALUE"""),30.0)</f>
        <v>30</v>
      </c>
    </row>
    <row r="6">
      <c r="A6" s="4" t="str">
        <f>IFERROR(__xludf.DUMMYFUNCTION("""COMPUTED_VALUE"""),"Jay ")</f>
        <v>Jay </v>
      </c>
      <c r="B6" s="4">
        <f>IFERROR(__xludf.DUMMYFUNCTION("""COMPUTED_VALUE"""),10.0)</f>
        <v>10</v>
      </c>
      <c r="C6" s="5">
        <f>IFERROR(__xludf.DUMMYFUNCTION("""COMPUTED_VALUE"""),50.0)</f>
        <v>50</v>
      </c>
    </row>
    <row r="7">
      <c r="A7" s="4" t="str">
        <f>IFERROR(__xludf.DUMMYFUNCTION("""COMPUTED_VALUE"""),"Jenn")</f>
        <v>Jenn</v>
      </c>
      <c r="B7" s="4">
        <f>IFERROR(__xludf.DUMMYFUNCTION("""COMPUTED_VALUE"""),8.0)</f>
        <v>8</v>
      </c>
      <c r="C7" s="5">
        <f>IFERROR(__xludf.DUMMYFUNCTION("""COMPUTED_VALUE"""),40.0)</f>
        <v>40</v>
      </c>
    </row>
    <row r="8">
      <c r="A8" s="4" t="str">
        <f>IFERROR(__xludf.DUMMYFUNCTION("""COMPUTED_VALUE"""),"JoeO")</f>
        <v>JoeO</v>
      </c>
      <c r="B8" s="4">
        <f>IFERROR(__xludf.DUMMYFUNCTION("""COMPUTED_VALUE"""),3.0)</f>
        <v>3</v>
      </c>
      <c r="C8" s="5">
        <f>IFERROR(__xludf.DUMMYFUNCTION("""COMPUTED_VALUE"""),15.0)</f>
        <v>15</v>
      </c>
    </row>
    <row r="9">
      <c r="A9" s="4" t="str">
        <f>IFERROR(__xludf.DUMMYFUNCTION("""COMPUTED_VALUE"""),"Jon")</f>
        <v>Jon</v>
      </c>
      <c r="B9" s="4">
        <f>IFERROR(__xludf.DUMMYFUNCTION("""COMPUTED_VALUE"""),1.0)</f>
        <v>1</v>
      </c>
      <c r="C9" s="5">
        <f>IFERROR(__xludf.DUMMYFUNCTION("""COMPUTED_VALUE"""),5.0)</f>
        <v>5</v>
      </c>
    </row>
    <row r="10">
      <c r="A10" s="4" t="str">
        <f>IFERROR(__xludf.DUMMYFUNCTION("""COMPUTED_VALUE"""),"Marie")</f>
        <v>Marie</v>
      </c>
      <c r="B10" s="4">
        <f>IFERROR(__xludf.DUMMYFUNCTION("""COMPUTED_VALUE"""),1.0)</f>
        <v>1</v>
      </c>
      <c r="C10" s="5">
        <f>IFERROR(__xludf.DUMMYFUNCTION("""COMPUTED_VALUE"""),5.0)</f>
        <v>5</v>
      </c>
    </row>
    <row r="11">
      <c r="A11" s="4" t="str">
        <f>IFERROR(__xludf.DUMMYFUNCTION("""COMPUTED_VALUE"""),"Marv")</f>
        <v>Marv</v>
      </c>
      <c r="B11" s="4">
        <f>IFERROR(__xludf.DUMMYFUNCTION("""COMPUTED_VALUE"""),10.0)</f>
        <v>10</v>
      </c>
      <c r="C11" s="5">
        <f>IFERROR(__xludf.DUMMYFUNCTION("""COMPUTED_VALUE"""),50.0)</f>
        <v>50</v>
      </c>
    </row>
    <row r="12">
      <c r="A12" s="4" t="str">
        <f>IFERROR(__xludf.DUMMYFUNCTION("""COMPUTED_VALUE"""),"Randy")</f>
        <v>Randy</v>
      </c>
      <c r="B12" s="4">
        <f>IFERROR(__xludf.DUMMYFUNCTION("""COMPUTED_VALUE"""),9.0)</f>
        <v>9</v>
      </c>
      <c r="C12" s="5">
        <f>IFERROR(__xludf.DUMMYFUNCTION("""COMPUTED_VALUE"""),45.0)</f>
        <v>45</v>
      </c>
    </row>
    <row r="13">
      <c r="A13" s="4" t="str">
        <f>IFERROR(__xludf.DUMMYFUNCTION("""COMPUTED_VALUE"""),"Rhon")</f>
        <v>Rhon</v>
      </c>
      <c r="B13" s="4">
        <f>IFERROR(__xludf.DUMMYFUNCTION("""COMPUTED_VALUE"""),1.0)</f>
        <v>1</v>
      </c>
      <c r="C13" s="5">
        <f>IFERROR(__xludf.DUMMYFUNCTION("""COMPUTED_VALUE"""),5.0)</f>
        <v>5</v>
      </c>
    </row>
    <row r="14">
      <c r="A14" s="4" t="str">
        <f>IFERROR(__xludf.DUMMYFUNCTION("""COMPUTED_VALUE"""),"Tony")</f>
        <v>Tony</v>
      </c>
      <c r="B14" s="4">
        <f>IFERROR(__xludf.DUMMYFUNCTION("""COMPUTED_VALUE"""),1.0)</f>
        <v>1</v>
      </c>
      <c r="C14" s="5">
        <f>IFERROR(__xludf.DUMMYFUNCTION("""COMPUTED_VALUE"""),5.0)</f>
        <v>5</v>
      </c>
    </row>
    <row r="15">
      <c r="A15" s="4" t="str">
        <f>IFERROR(__xludf.DUMMYFUNCTION("""COMPUTED_VALUE"""),"Trevor")</f>
        <v>Trevor</v>
      </c>
      <c r="B15" s="4">
        <f>IFERROR(__xludf.DUMMYFUNCTION("""COMPUTED_VALUE"""),4.0)</f>
        <v>4</v>
      </c>
      <c r="C15" s="5">
        <f>IFERROR(__xludf.DUMMYFUNCTION("""COMPUTED_VALUE"""),20.0)</f>
        <v>20</v>
      </c>
    </row>
    <row r="16">
      <c r="A16" s="4" t="str">
        <f>IFERROR(__xludf.DUMMYFUNCTION("""COMPUTED_VALUE"""),"Zariyan")</f>
        <v>Zariyan</v>
      </c>
      <c r="B16" s="4">
        <f>IFERROR(__xludf.DUMMYFUNCTION("""COMPUTED_VALUE"""),2.0)</f>
        <v>2</v>
      </c>
      <c r="C16" s="5">
        <f>IFERROR(__xludf.DUMMYFUNCTION("""COMPUTED_VALUE"""),10.0)</f>
        <v>10</v>
      </c>
    </row>
    <row r="17">
      <c r="C17" s="5"/>
    </row>
    <row r="18">
      <c r="C18" s="5"/>
    </row>
    <row r="19">
      <c r="C19" s="5"/>
    </row>
    <row r="20">
      <c r="C20" s="5"/>
    </row>
    <row r="21" ht="15.75" customHeight="1">
      <c r="C21" s="5"/>
    </row>
    <row r="22" ht="15.75" customHeight="1">
      <c r="C22" s="5"/>
    </row>
    <row r="23" ht="15.75" customHeight="1">
      <c r="C23" s="5"/>
    </row>
    <row r="24" ht="15.75" customHeight="1">
      <c r="C24" s="5"/>
    </row>
    <row r="25" ht="15.75" customHeight="1">
      <c r="C25" s="5"/>
    </row>
    <row r="26" ht="15.75" customHeight="1">
      <c r="C26" s="5"/>
    </row>
    <row r="27" ht="15.75" customHeight="1">
      <c r="C27" s="5"/>
    </row>
    <row r="28" ht="15.75" customHeight="1">
      <c r="C28" s="5"/>
    </row>
    <row r="29" ht="15.75" customHeight="1">
      <c r="C29" s="5"/>
    </row>
    <row r="30" ht="15.75" customHeight="1">
      <c r="C30" s="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24.0"/>
    <col customWidth="1" min="3" max="26" width="8.71"/>
  </cols>
  <sheetData>
    <row r="1">
      <c r="A1" s="1"/>
    </row>
    <row r="3">
      <c r="A3" s="14" t="s">
        <v>36</v>
      </c>
      <c r="B3" s="14" t="s">
        <v>3</v>
      </c>
    </row>
    <row r="4">
      <c r="A4" s="14" t="s">
        <v>37</v>
      </c>
      <c r="B4" s="14">
        <f>COUNTA(Sessions!A2:A1000000)</f>
        <v>11</v>
      </c>
    </row>
    <row r="5">
      <c r="A5" s="14" t="s">
        <v>38</v>
      </c>
      <c r="B5" s="14">
        <f>SUM(Sessions!B2:B1000000)</f>
        <v>22</v>
      </c>
    </row>
    <row r="6">
      <c r="A6" s="14" t="s">
        <v>39</v>
      </c>
      <c r="B6" s="15">
        <f>SUM(Sessions!E2:E1000000)</f>
        <v>350</v>
      </c>
    </row>
    <row r="7">
      <c r="A7" s="14" t="s">
        <v>40</v>
      </c>
      <c r="B7" s="15">
        <f>SUM(Sessions!F2:F1000000)</f>
        <v>264</v>
      </c>
    </row>
    <row r="8">
      <c r="A8" s="14" t="s">
        <v>41</v>
      </c>
      <c r="B8" s="15">
        <f>Settings!$B$2</f>
        <v>70</v>
      </c>
    </row>
    <row r="9">
      <c r="A9" s="14" t="s">
        <v>42</v>
      </c>
      <c r="B9" s="15">
        <f>B6-B7-B8</f>
        <v>16</v>
      </c>
    </row>
    <row r="10">
      <c r="A10" s="14" t="s">
        <v>43</v>
      </c>
      <c r="B10" s="15">
        <f>B9</f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