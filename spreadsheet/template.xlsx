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torres/Workspaces/pnb/pickle/checkin/checkin-app/spreadsheet/"/>
    </mc:Choice>
  </mc:AlternateContent>
  <xr:revisionPtr revIDLastSave="0" documentId="13_ncr:1_{6884AA32-DBBF-E94F-9C0C-9BB475EE4BCA}" xr6:coauthVersionLast="47" xr6:coauthVersionMax="47" xr10:uidLastSave="{00000000-0000-0000-0000-000000000000}"/>
  <bookViews>
    <workbookView xWindow="0" yWindow="880" windowWidth="41120" windowHeight="24260" activeTab="5" xr2:uid="{00000000-000D-0000-FFFF-FFFF00000000}"/>
  </bookViews>
  <sheets>
    <sheet name="Reservations" sheetId="1" r:id="rId1"/>
    <sheet name="Attendance" sheetId="2" r:id="rId2"/>
    <sheet name="Fees" sheetId="3" r:id="rId3"/>
    <sheet name="Summary by Player" sheetId="4" r:id="rId4"/>
    <sheet name="Monthly Summary" sheetId="5" r:id="rId5"/>
    <sheet name="Users" sheetId="6" r:id="rId6"/>
    <sheet name="AuthTokens" sheetId="7" r:id="rId7"/>
    <sheet name="Session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2" i="5"/>
  <c r="C2" i="4"/>
  <c r="B2" i="4"/>
</calcChain>
</file>

<file path=xl/sharedStrings.xml><?xml version="1.0" encoding="utf-8"?>
<sst xmlns="http://schemas.openxmlformats.org/spreadsheetml/2006/main" count="44" uniqueCount="38">
  <si>
    <t>Id</t>
  </si>
  <si>
    <t>Date</t>
  </si>
  <si>
    <t>Start</t>
  </si>
  <si>
    <t>End</t>
  </si>
  <si>
    <t>Court</t>
  </si>
  <si>
    <t>Capacity</t>
  </si>
  <si>
    <t>BaseFee</t>
  </si>
  <si>
    <t>Hours</t>
  </si>
  <si>
    <t>Player Name</t>
  </si>
  <si>
    <t>Present (1/0)</t>
  </si>
  <si>
    <t>Charge (auto)</t>
  </si>
  <si>
    <t>PAID</t>
  </si>
  <si>
    <t>ReservationId</t>
  </si>
  <si>
    <t>FeeName</t>
  </si>
  <si>
    <t>Amount</t>
  </si>
  <si>
    <t>Player</t>
  </si>
  <si>
    <t>Sessions Attended</t>
  </si>
  <si>
    <t>Total Paid</t>
  </si>
  <si>
    <t>ExamplePlayer</t>
  </si>
  <si>
    <t>Metric</t>
  </si>
  <si>
    <t>Value</t>
  </si>
  <si>
    <t>Total Revenue (Paid)</t>
  </si>
  <si>
    <t>Total Unpaid</t>
  </si>
  <si>
    <t xml:space="preserve"> UserId </t>
  </si>
  <si>
    <t xml:space="preserve"> Role </t>
  </si>
  <si>
    <t xml:space="preserve"> Name </t>
  </si>
  <si>
    <t xml:space="preserve"> Phone </t>
  </si>
  <si>
    <t xml:space="preserve"> Email </t>
  </si>
  <si>
    <t xml:space="preserve"> Venmo </t>
  </si>
  <si>
    <t xml:space="preserve"> PinHash </t>
  </si>
  <si>
    <t xml:space="preserve"> Active</t>
  </si>
  <si>
    <t xml:space="preserve">Token </t>
  </si>
  <si>
    <t xml:space="preserve"> ExpiresAt </t>
  </si>
  <si>
    <t xml:space="preserve"> Used </t>
  </si>
  <si>
    <t xml:space="preserve"> CreatedAt</t>
  </si>
  <si>
    <t xml:space="preserve">SessionId </t>
  </si>
  <si>
    <t xml:space="preserve"> CreatedAt </t>
  </si>
  <si>
    <t xml:space="preserve"> Revoked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</si>
</sst>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/>
  </sheetViews>
  <sheetFormatPr baseColWidth="10" defaultColWidth="8.83203125" defaultRowHeight="15" x14ac:dyDescent="0.2"/>
  <sheetData>
    <row r="1" spans="1:3" x14ac:dyDescent="0.2">
      <c r="A1" s="1" t="s">
        <v>12</v>
      </c>
      <c r="B1" s="1" t="s">
        <v>13</v>
      </c>
      <c r="C1" s="1" t="s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/>
  </sheetViews>
  <sheetFormatPr baseColWidth="10" defaultColWidth="8.83203125" defaultRowHeight="15" x14ac:dyDescent="0.2"/>
  <sheetData>
    <row r="1" spans="1:3" x14ac:dyDescent="0.2">
      <c r="A1" t="s">
        <v>15</v>
      </c>
      <c r="B1" t="s">
        <v>16</v>
      </c>
      <c r="C1" t="s">
        <v>17</v>
      </c>
    </row>
    <row r="2" spans="1:3" x14ac:dyDescent="0.2">
      <c r="A2" t="s">
        <v>18</v>
      </c>
      <c r="B2">
        <f>COUNTIFS(Attendance!C:C, A2, Attendance!D:D, 1)</f>
        <v>0</v>
      </c>
      <c r="C2">
        <f>SUMIFS(Attendance!E:E, Attendance!C:C, A2, Attendance!F:F, TRUE)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"/>
  <sheetViews>
    <sheetView workbookViewId="0"/>
  </sheetViews>
  <sheetFormatPr baseColWidth="10" defaultColWidth="8.83203125" defaultRowHeight="15" x14ac:dyDescent="0.2"/>
  <sheetData>
    <row r="1" spans="1:2" x14ac:dyDescent="0.2">
      <c r="A1" t="s">
        <v>19</v>
      </c>
      <c r="B1" t="s">
        <v>20</v>
      </c>
    </row>
    <row r="2" spans="1:2" x14ac:dyDescent="0.2">
      <c r="A2" t="s">
        <v>21</v>
      </c>
      <c r="B2">
        <f>SUMIF(Attendance!F:F, TRUE, Attendance!E:E)</f>
        <v>0</v>
      </c>
    </row>
    <row r="3" spans="1:2" x14ac:dyDescent="0.2">
      <c r="A3" t="s">
        <v>22</v>
      </c>
      <c r="B3">
        <f>SUMIF(Attendance!F:F, FALSE, Attendance!E:E)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CBD5-7CD2-7944-B52F-336557BFE3A0}">
  <dimension ref="A1:H1"/>
  <sheetViews>
    <sheetView tabSelected="1" workbookViewId="0">
      <selection activeCell="J34" sqref="J34"/>
    </sheetView>
  </sheetViews>
  <sheetFormatPr baseColWidth="10" defaultRowHeight="15" x14ac:dyDescent="0.2"/>
  <sheetData>
    <row r="1" spans="1:8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BE404-CA0A-894C-8DF3-573BC472B44E}">
  <dimension ref="A1:E1"/>
  <sheetViews>
    <sheetView workbookViewId="0">
      <selection sqref="A1:E1"/>
    </sheetView>
  </sheetViews>
  <sheetFormatPr baseColWidth="10" defaultRowHeight="15" x14ac:dyDescent="0.2"/>
  <sheetData>
    <row r="1" spans="1:5" x14ac:dyDescent="0.2">
      <c r="A1" t="s">
        <v>31</v>
      </c>
      <c r="B1" t="s">
        <v>23</v>
      </c>
      <c r="C1" t="s">
        <v>32</v>
      </c>
      <c r="D1" t="s">
        <v>33</v>
      </c>
      <c r="E1" t="s">
        <v>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3F4E7-59CF-7541-80BB-02A30CCA7A1C}">
  <dimension ref="A1:F1"/>
  <sheetViews>
    <sheetView workbookViewId="0">
      <selection activeCell="L38" sqref="L38"/>
    </sheetView>
  </sheetViews>
  <sheetFormatPr baseColWidth="10" defaultRowHeight="15" x14ac:dyDescent="0.2"/>
  <sheetData>
    <row r="1" spans="1:6" x14ac:dyDescent="0.2">
      <c r="A1" t="s">
        <v>35</v>
      </c>
      <c r="B1" t="s">
        <v>23</v>
      </c>
      <c r="C1" t="s">
        <v>24</v>
      </c>
      <c r="D1" t="s">
        <v>36</v>
      </c>
      <c r="E1" t="s">
        <v>32</v>
      </c>
      <c r="F1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Reservations</vt:lpstr>
      <vt:lpstr>Attendance</vt:lpstr>
      <vt:lpstr>Fees</vt:lpstr>
      <vt:lpstr>Summary by Player</vt:lpstr>
      <vt:lpstr>Monthly Summary</vt:lpstr>
      <vt:lpstr>Users</vt:lpstr>
      <vt:lpstr>AuthTokens</vt:lpstr>
      <vt:lpstr>Sessions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Torres, Jay (US 397P)</cp:lastModifiedBy>
  <dcterms:created xsi:type="dcterms:W3CDTF">2025-12-24T06:54:49Z</dcterms:created>
  <dcterms:modified xsi:type="dcterms:W3CDTF">2025-12-24T23:56:13Z</dcterms:modified>
</cp:coreProperties>
</file>